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68471\EXCELCNV\cfe3c6e2-36d2-438f-a8b4-b768529d212a\"/>
    </mc:Choice>
  </mc:AlternateContent>
  <xr:revisionPtr revIDLastSave="0" documentId="8_{9FCE15B6-6A83-4488-81CA-584584201FCE}" xr6:coauthVersionLast="47" xr6:coauthVersionMax="47" xr10:uidLastSave="{00000000-0000-0000-0000-000000000000}"/>
  <bookViews>
    <workbookView xWindow="-60" yWindow="-60" windowWidth="15480" windowHeight="11640" firstSheet="4" activeTab="5" xr2:uid="{3DFEE683-7DB6-4A98-A748-F891B70DE5DC}"/>
  </bookViews>
  <sheets>
    <sheet name="REF1" sheetId="1" r:id="rId1"/>
    <sheet name="REF2" sheetId="3" r:id="rId2"/>
    <sheet name="REF3" sheetId="7" r:id="rId3"/>
    <sheet name="REF4" sheetId="5" r:id="rId4"/>
    <sheet name="REF5" sheetId="6" r:id="rId5"/>
    <sheet name="REF6" sheetId="2" r:id="rId6"/>
    <sheet name="CON1" sheetId="8" r:id="rId7"/>
    <sheet name="CON2" sheetId="9" r:id="rId8"/>
    <sheet name="CON3" sheetId="10" r:id="rId9"/>
    <sheet name="CON4" sheetId="11" r:id="rId10"/>
    <sheet name="Ref. Abs. Edades" sheetId="4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E13" i="2"/>
  <c r="D12" i="2"/>
  <c r="E7" i="2"/>
  <c r="E8" i="2"/>
  <c r="E9" i="2"/>
  <c r="E10" i="2"/>
  <c r="E11" i="2"/>
  <c r="E6" i="2"/>
  <c r="D7" i="2"/>
  <c r="D8" i="2"/>
  <c r="D9" i="2"/>
  <c r="D10" i="2"/>
  <c r="D11" i="2"/>
  <c r="D6" i="2"/>
  <c r="E27" i="6"/>
  <c r="F27" i="6"/>
  <c r="G27" i="6"/>
  <c r="H27" i="6"/>
  <c r="I27" i="6"/>
  <c r="J27" i="6"/>
  <c r="D27" i="6"/>
  <c r="C27" i="6"/>
  <c r="B27" i="6"/>
  <c r="E5" i="6"/>
  <c r="F5" i="6"/>
  <c r="G5" i="6"/>
  <c r="H5" i="6"/>
  <c r="I5" i="6"/>
  <c r="J5" i="6"/>
  <c r="E6" i="6"/>
  <c r="F6" i="6"/>
  <c r="G6" i="6"/>
  <c r="H6" i="6"/>
  <c r="I6" i="6"/>
  <c r="J6" i="6"/>
  <c r="E7" i="6"/>
  <c r="F7" i="6"/>
  <c r="G7" i="6"/>
  <c r="H7" i="6"/>
  <c r="I7" i="6"/>
  <c r="J7" i="6"/>
  <c r="E8" i="6"/>
  <c r="F8" i="6"/>
  <c r="G8" i="6"/>
  <c r="H8" i="6"/>
  <c r="I8" i="6"/>
  <c r="J8" i="6"/>
  <c r="E9" i="6"/>
  <c r="F9" i="6"/>
  <c r="G9" i="6"/>
  <c r="H9" i="6"/>
  <c r="I9" i="6"/>
  <c r="J9" i="6"/>
  <c r="E10" i="6"/>
  <c r="F10" i="6"/>
  <c r="G10" i="6"/>
  <c r="H10" i="6"/>
  <c r="I10" i="6"/>
  <c r="J10" i="6"/>
  <c r="E11" i="6"/>
  <c r="F11" i="6"/>
  <c r="G11" i="6"/>
  <c r="H11" i="6"/>
  <c r="I11" i="6"/>
  <c r="J11" i="6"/>
  <c r="E12" i="6"/>
  <c r="F12" i="6"/>
  <c r="G12" i="6"/>
  <c r="H12" i="6"/>
  <c r="I12" i="6"/>
  <c r="J12" i="6"/>
  <c r="E13" i="6"/>
  <c r="F13" i="6"/>
  <c r="G13" i="6"/>
  <c r="H13" i="6"/>
  <c r="I13" i="6"/>
  <c r="J13" i="6"/>
  <c r="E14" i="6"/>
  <c r="F14" i="6"/>
  <c r="G14" i="6"/>
  <c r="H14" i="6"/>
  <c r="I14" i="6"/>
  <c r="J14" i="6"/>
  <c r="E15" i="6"/>
  <c r="F15" i="6"/>
  <c r="G15" i="6"/>
  <c r="H15" i="6"/>
  <c r="I15" i="6"/>
  <c r="J15" i="6"/>
  <c r="E16" i="6"/>
  <c r="F16" i="6"/>
  <c r="G16" i="6"/>
  <c r="H16" i="6"/>
  <c r="I16" i="6"/>
  <c r="J16" i="6"/>
  <c r="E17" i="6"/>
  <c r="F17" i="6"/>
  <c r="G17" i="6"/>
  <c r="H17" i="6"/>
  <c r="I17" i="6"/>
  <c r="J17" i="6"/>
  <c r="E18" i="6"/>
  <c r="F18" i="6"/>
  <c r="G18" i="6"/>
  <c r="H18" i="6"/>
  <c r="I18" i="6"/>
  <c r="J18" i="6"/>
  <c r="E19" i="6"/>
  <c r="F19" i="6"/>
  <c r="G19" i="6"/>
  <c r="H19" i="6"/>
  <c r="I19" i="6"/>
  <c r="J19" i="6"/>
  <c r="E20" i="6"/>
  <c r="F20" i="6"/>
  <c r="G20" i="6"/>
  <c r="H20" i="6"/>
  <c r="I20" i="6"/>
  <c r="J20" i="6"/>
  <c r="E21" i="6"/>
  <c r="F21" i="6"/>
  <c r="G21" i="6"/>
  <c r="H21" i="6"/>
  <c r="I21" i="6"/>
  <c r="J21" i="6"/>
  <c r="E22" i="6"/>
  <c r="F22" i="6"/>
  <c r="G22" i="6"/>
  <c r="H22" i="6"/>
  <c r="I22" i="6"/>
  <c r="J22" i="6"/>
  <c r="E23" i="6"/>
  <c r="F23" i="6"/>
  <c r="G23" i="6"/>
  <c r="H23" i="6"/>
  <c r="I23" i="6"/>
  <c r="J23" i="6"/>
  <c r="E24" i="6"/>
  <c r="F24" i="6"/>
  <c r="G24" i="6"/>
  <c r="H24" i="6"/>
  <c r="I24" i="6"/>
  <c r="J24" i="6"/>
  <c r="E25" i="6"/>
  <c r="F25" i="6"/>
  <c r="G25" i="6"/>
  <c r="H25" i="6"/>
  <c r="I25" i="6"/>
  <c r="J25" i="6"/>
  <c r="E26" i="6"/>
  <c r="F26" i="6"/>
  <c r="G26" i="6"/>
  <c r="H26" i="6"/>
  <c r="I26" i="6"/>
  <c r="J26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5" i="6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D29" i="5"/>
  <c r="E29" i="5"/>
  <c r="F29" i="5"/>
  <c r="G29" i="5"/>
  <c r="H29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D33" i="5"/>
  <c r="E33" i="5"/>
  <c r="F33" i="5"/>
  <c r="G33" i="5"/>
  <c r="H33" i="5"/>
  <c r="D34" i="5"/>
  <c r="E34" i="5"/>
  <c r="F34" i="5"/>
  <c r="G34" i="5"/>
  <c r="H34" i="5"/>
  <c r="C24" i="5"/>
  <c r="C25" i="5"/>
  <c r="C26" i="5"/>
  <c r="C27" i="5"/>
  <c r="C28" i="5"/>
  <c r="C29" i="5"/>
  <c r="C30" i="5"/>
  <c r="C31" i="5"/>
  <c r="C32" i="5"/>
  <c r="C33" i="5"/>
  <c r="C34" i="5"/>
  <c r="C23" i="5"/>
  <c r="H6" i="7"/>
  <c r="H7" i="7"/>
  <c r="H8" i="7"/>
  <c r="H9" i="7"/>
  <c r="H10" i="7"/>
  <c r="H11" i="7"/>
  <c r="H12" i="7"/>
  <c r="H13" i="7"/>
  <c r="H14" i="7"/>
  <c r="H15" i="7"/>
  <c r="H5" i="7"/>
  <c r="G15" i="7"/>
  <c r="G14" i="7"/>
  <c r="G13" i="7"/>
  <c r="G12" i="7"/>
  <c r="G11" i="7"/>
  <c r="G10" i="7"/>
  <c r="G9" i="7"/>
  <c r="G8" i="7"/>
  <c r="G7" i="7"/>
  <c r="G6" i="7"/>
  <c r="G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F14" i="7"/>
  <c r="C15" i="7"/>
  <c r="D15" i="7"/>
  <c r="E15" i="7"/>
  <c r="F15" i="7"/>
  <c r="F5" i="7"/>
  <c r="D5" i="7"/>
  <c r="E5" i="7"/>
  <c r="C5" i="7"/>
  <c r="F21" i="1"/>
  <c r="F22" i="1"/>
  <c r="F23" i="1"/>
  <c r="F24" i="1"/>
  <c r="F20" i="1"/>
  <c r="E20" i="3"/>
  <c r="E13" i="3"/>
  <c r="E14" i="3"/>
  <c r="E15" i="3"/>
  <c r="E16" i="3"/>
  <c r="E17" i="3"/>
  <c r="E18" i="3"/>
  <c r="E19" i="3"/>
  <c r="E12" i="3"/>
  <c r="C20" i="3"/>
  <c r="C13" i="3"/>
  <c r="C14" i="3"/>
  <c r="C15" i="3"/>
  <c r="C16" i="3"/>
  <c r="C17" i="3"/>
  <c r="C18" i="3"/>
  <c r="C19" i="3"/>
  <c r="C12" i="3"/>
  <c r="D20" i="3"/>
  <c r="B20" i="3"/>
  <c r="H4" i="11"/>
  <c r="H5" i="11"/>
  <c r="H6" i="11"/>
  <c r="H7" i="11"/>
  <c r="H8" i="11"/>
  <c r="H9" i="11"/>
  <c r="H10" i="11"/>
  <c r="H11" i="11"/>
  <c r="H12" i="11"/>
  <c r="H13" i="11"/>
  <c r="F3" i="10"/>
  <c r="F4" i="10"/>
  <c r="F5" i="10"/>
  <c r="F6" i="10"/>
  <c r="F7" i="10"/>
  <c r="F8" i="10"/>
  <c r="F9" i="10"/>
  <c r="F10" i="10"/>
  <c r="F11" i="10"/>
  <c r="F1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 usuario de Microsoft Office satisfecho</author>
  </authors>
  <commentList>
    <comment ref="G4" authorId="0" shapeId="0" xr:uid="{D7A518EF-527F-4262-8E81-BA2D01B45A92}">
      <text>
        <r>
          <rPr>
            <sz val="8"/>
            <color indexed="81"/>
            <rFont val="Tahoma"/>
          </rPr>
          <t>Suma de columnas C a F</t>
        </r>
      </text>
    </comment>
    <comment ref="H4" authorId="0" shapeId="0" xr:uid="{ECF83F90-9D46-45CD-8214-48A567CF8D9E}">
      <text>
        <r>
          <rPr>
            <sz val="8"/>
            <color indexed="81"/>
            <rFont val="Tahoma"/>
          </rPr>
          <t xml:space="preserve">
Sueldo (columna B) - total de descuentos (G)</t>
        </r>
      </text>
    </comment>
  </commentList>
</comments>
</file>

<file path=xl/sharedStrings.xml><?xml version="1.0" encoding="utf-8"?>
<sst xmlns="http://schemas.openxmlformats.org/spreadsheetml/2006/main" count="259" uniqueCount="211">
  <si>
    <t>REALIZAR LA SIGUIENTE PLANILLA A PARTIR DE LA CELDA A18 RESPETANDO EL FORMATO</t>
  </si>
  <si>
    <t xml:space="preserve">  </t>
  </si>
  <si>
    <t>GANANCIA EN PORCENTAJE DE CADA VENDEDOR</t>
  </si>
  <si>
    <t>Vendedor</t>
  </si>
  <si>
    <t>Auto</t>
  </si>
  <si>
    <t>Precio</t>
  </si>
  <si>
    <t>Ganancia</t>
  </si>
  <si>
    <t>AUTOLANDIA HNOS</t>
  </si>
  <si>
    <t>Rodrigo</t>
  </si>
  <si>
    <t>Kia Picanto</t>
  </si>
  <si>
    <t>Tomas</t>
  </si>
  <si>
    <t>Kia k3</t>
  </si>
  <si>
    <t>Pablo</t>
  </si>
  <si>
    <t>chevrolet spark</t>
  </si>
  <si>
    <t>Daniel</t>
  </si>
  <si>
    <t>Mazda</t>
  </si>
  <si>
    <t>Cristian</t>
  </si>
  <si>
    <t>Toyota</t>
  </si>
  <si>
    <t>Tabla de Puntajes</t>
  </si>
  <si>
    <t>Ganado</t>
  </si>
  <si>
    <t>Perdido</t>
  </si>
  <si>
    <t>Empatado</t>
  </si>
  <si>
    <t>Cantidad Total de Partidos Jugados</t>
  </si>
  <si>
    <t>Torneo Polideportivo 2010</t>
  </si>
  <si>
    <t>Disciplina</t>
  </si>
  <si>
    <t>Ganados</t>
  </si>
  <si>
    <t>Empatados</t>
  </si>
  <si>
    <t>Perdidos</t>
  </si>
  <si>
    <t>Puntos</t>
  </si>
  <si>
    <t>Handball</t>
  </si>
  <si>
    <t>Voleyball</t>
  </si>
  <si>
    <t>Basquet</t>
  </si>
  <si>
    <t>18+</t>
  </si>
  <si>
    <t>Futball</t>
  </si>
  <si>
    <t>Cestoball</t>
  </si>
  <si>
    <t>Hockey</t>
  </si>
  <si>
    <t>Rugby</t>
  </si>
  <si>
    <t>Tenis</t>
  </si>
  <si>
    <t>Totales</t>
  </si>
  <si>
    <t>Ultimos ejercicios de referencias relativas y absoutas</t>
  </si>
  <si>
    <t>Jubilación</t>
  </si>
  <si>
    <t>O.Social</t>
  </si>
  <si>
    <t>INSSJP</t>
  </si>
  <si>
    <t>Sindicato</t>
  </si>
  <si>
    <t xml:space="preserve">Total </t>
  </si>
  <si>
    <t>Neto a</t>
  </si>
  <si>
    <t>Empleados</t>
  </si>
  <si>
    <t>Sueldo</t>
  </si>
  <si>
    <t>Descuentos</t>
  </si>
  <si>
    <t>Cobrar</t>
  </si>
  <si>
    <t>Cardone</t>
  </si>
  <si>
    <t>Muriel</t>
  </si>
  <si>
    <t>Mansilla</t>
  </si>
  <si>
    <t>Benítez</t>
  </si>
  <si>
    <t>Mendieta</t>
  </si>
  <si>
    <t>Arriola</t>
  </si>
  <si>
    <t>Bascur</t>
  </si>
  <si>
    <t>Aman</t>
  </si>
  <si>
    <t>Zoilo</t>
  </si>
  <si>
    <t>Beltrán</t>
  </si>
  <si>
    <t>González</t>
  </si>
  <si>
    <r>
      <t xml:space="preserve"> Completar mediante </t>
    </r>
    <r>
      <rPr>
        <b/>
        <sz val="9"/>
        <rFont val="Arial"/>
        <family val="2"/>
      </rPr>
      <t>una sola fórmula</t>
    </r>
    <r>
      <rPr>
        <sz val="9"/>
        <rFont val="Arial"/>
        <family val="2"/>
      </rPr>
      <t xml:space="preserve"> la celda C5</t>
    </r>
  </si>
  <si>
    <t xml:space="preserve"> Tener en cuenta que la fórmula escrita en C5 deber servir para todas las celdas a completar</t>
  </si>
  <si>
    <t xml:space="preserve"> Realizar los cálculos con 2 decimales y darle formato monetario a las celdas</t>
  </si>
  <si>
    <t>Calcular cuanto recauda cada tren dependiendo de la cantidad límite de pasajeros y el precio probable del pasaje</t>
  </si>
  <si>
    <t>Recordar que este planteo se debe resolver con una sola fórmula y luego aplicar llenado automático</t>
  </si>
  <si>
    <t>CREAR LA PLANILLA A PARTIR DE LA CELDA A22</t>
  </si>
  <si>
    <t>N° TREN</t>
  </si>
  <si>
    <t>N° Limite Pasajeros</t>
  </si>
  <si>
    <t>PRECIO PROBABLE DEL PASAJE</t>
  </si>
  <si>
    <t>Esquema de  comisiones</t>
  </si>
  <si>
    <t>Nivel Salarial</t>
  </si>
  <si>
    <t>AFJP</t>
  </si>
  <si>
    <t>Fija</t>
  </si>
  <si>
    <t>Variable</t>
  </si>
  <si>
    <t>Activa-Anticipar</t>
  </si>
  <si>
    <t>Afianzar</t>
  </si>
  <si>
    <t>Arauca-Bit</t>
  </si>
  <si>
    <t>Claridad</t>
  </si>
  <si>
    <t>Consolidar</t>
  </si>
  <si>
    <t>Ethika</t>
  </si>
  <si>
    <t>Fecunda</t>
  </si>
  <si>
    <t>Futura</t>
  </si>
  <si>
    <t>Generar</t>
  </si>
  <si>
    <t>Jacarandá</t>
  </si>
  <si>
    <t>Más Vida</t>
  </si>
  <si>
    <t>Máxima</t>
  </si>
  <si>
    <t>Nación</t>
  </si>
  <si>
    <t>Orígenes</t>
  </si>
  <si>
    <t>Patrimonio</t>
  </si>
  <si>
    <t>Previnter</t>
  </si>
  <si>
    <t>Previsol</t>
  </si>
  <si>
    <t>Profesión</t>
  </si>
  <si>
    <t>Prorenta</t>
  </si>
  <si>
    <t>San José</t>
  </si>
  <si>
    <t>Siembra</t>
  </si>
  <si>
    <t>Unidos</t>
  </si>
  <si>
    <t>Promedio</t>
  </si>
  <si>
    <t>La fila de nivel salarial completarla con autollenado</t>
  </si>
  <si>
    <t>Respetar los formatos de celdas</t>
  </si>
  <si>
    <t>Calcular la comisión de cada AFJP en cada nivel salarial</t>
  </si>
  <si>
    <t>Descuento</t>
  </si>
  <si>
    <t>Recargo</t>
  </si>
  <si>
    <t>Nombre del producto</t>
  </si>
  <si>
    <t xml:space="preserve">Cantidad </t>
  </si>
  <si>
    <t>Unitario</t>
  </si>
  <si>
    <t>Contado</t>
  </si>
  <si>
    <t>Tarjeta</t>
  </si>
  <si>
    <t>Té Dharamsala</t>
  </si>
  <si>
    <t>Cerveza tibetana Barley</t>
  </si>
  <si>
    <t>Sirope de regaliz</t>
  </si>
  <si>
    <t>Especias Cajun del chef Anton</t>
  </si>
  <si>
    <t>Mezcla Gumbo del chef Anton</t>
  </si>
  <si>
    <t>Mermelada de grosellas de la abuela</t>
  </si>
  <si>
    <t>Total a pagar contado</t>
  </si>
  <si>
    <t>Total a pagar con tarjeta</t>
  </si>
  <si>
    <t>Diferencia</t>
  </si>
  <si>
    <t>CAMPAMENTO</t>
  </si>
  <si>
    <t>Columna1</t>
  </si>
  <si>
    <t>EDAD (edad)</t>
  </si>
  <si>
    <t>ACTIVIDAD DESEADA</t>
  </si>
  <si>
    <t>Equitación</t>
  </si>
  <si>
    <t>Cantidad de inscriptos:</t>
  </si>
  <si>
    <t>Natación</t>
  </si>
  <si>
    <t>Cantidad de niños de 8 años</t>
  </si>
  <si>
    <t>cantidad de niños menores de 8 años</t>
  </si>
  <si>
    <t>cantidad de niños que practicaran Natación</t>
  </si>
  <si>
    <t>cantidad de niños que practicaran Tenis</t>
  </si>
  <si>
    <t xml:space="preserve">Cantidad de niños que practicaran Equitación </t>
  </si>
  <si>
    <t>Mayor de edad registrada</t>
  </si>
  <si>
    <t>Menor de edad registrada</t>
  </si>
  <si>
    <t>Promedio de edades</t>
  </si>
  <si>
    <t>ALUMNO</t>
  </si>
  <si>
    <t>NOTA1</t>
  </si>
  <si>
    <t>NOTA2</t>
  </si>
  <si>
    <t>NOTA3</t>
  </si>
  <si>
    <t>PROMEDIO</t>
  </si>
  <si>
    <t>CANTIDAD DE ALUMNOS</t>
  </si>
  <si>
    <t>ARANA, FACUNDO</t>
  </si>
  <si>
    <t>CANTIDAD DE ALUMNOS SIN NOTA</t>
  </si>
  <si>
    <t>ECHARRI, PABLO</t>
  </si>
  <si>
    <t>CANTIDAD DE ALUMNOS APROBADOS</t>
  </si>
  <si>
    <t>FRANCHELA, GUILLERMO</t>
  </si>
  <si>
    <t>CANTIDAD DE ALUMNOS DESAPROBADOS</t>
  </si>
  <si>
    <t>FURRIEL, OLARTE</t>
  </si>
  <si>
    <t>PEÑA, DIEGO</t>
  </si>
  <si>
    <t>GONZALEZ, JOHANNA</t>
  </si>
  <si>
    <t>SE APRUEBA CON UN PUNTAJE MAYOR O IGUAL A 7</t>
  </si>
  <si>
    <t>VELEZ, DARIO</t>
  </si>
  <si>
    <t>ORTIZ WILLIAM</t>
  </si>
  <si>
    <t>RAMIREZ, TATIS</t>
  </si>
  <si>
    <t>GOMEZ, CESAR</t>
  </si>
  <si>
    <t>REGISTRO DE NOTAS</t>
  </si>
  <si>
    <t>Nº</t>
  </si>
  <si>
    <t>APELLIDOS Y NOMBRES</t>
  </si>
  <si>
    <t>INTERNET</t>
  </si>
  <si>
    <t>WORD</t>
  </si>
  <si>
    <t>EXCEL</t>
  </si>
  <si>
    <t>GUIMARAY GUTIERREZ, Bherta</t>
  </si>
  <si>
    <t>HUAMANI LAPA, Klisman</t>
  </si>
  <si>
    <t>LINO CRISPÍN, Martín</t>
  </si>
  <si>
    <t>LOAYZA BELTRAN, Hector</t>
  </si>
  <si>
    <t>LOPEZ RUCANA, Miriam Iris</t>
  </si>
  <si>
    <t>LUCUMBER BEDOYA, Estefania</t>
  </si>
  <si>
    <t>MELGAREJO MIÑANO, Alexander</t>
  </si>
  <si>
    <t>MERCEDES CALDERON, Virginia</t>
  </si>
  <si>
    <t>MONTOYA ORTIZ, Patricia</t>
  </si>
  <si>
    <t>MORON RIVEROS, Henrry</t>
  </si>
  <si>
    <t>OPERACIONES CON LA FUNCION CONTAR.SI</t>
  </si>
  <si>
    <t>RESULTADO</t>
  </si>
  <si>
    <t>¿Cuántas notas son iguales a 05 en el curso de Internet?</t>
  </si>
  <si>
    <t>¿Cuántas notas son iguales a 16 en el curso de Word?</t>
  </si>
  <si>
    <t>¿Cuántas notas son mayores a 15 en el curso de Excel?</t>
  </si>
  <si>
    <t>¿Cuántos notas son menores a 8 en el curso de EXcel?</t>
  </si>
  <si>
    <t>¿Cuántos aprobados hay en el promedio mayor a 14</t>
  </si>
  <si>
    <t>PLANILLA DE REMUNERACIONES</t>
  </si>
  <si>
    <t>AÑOS DE SERVICIO</t>
  </si>
  <si>
    <t>ESTADO EN LA EMPRESA</t>
  </si>
  <si>
    <t>HABER BASICO</t>
  </si>
  <si>
    <t>HIJOS</t>
  </si>
  <si>
    <t>AFP</t>
  </si>
  <si>
    <t>NETO A PAGAR</t>
  </si>
  <si>
    <t>ARREDONDO JUSTINIANO, Carlos</t>
  </si>
  <si>
    <t>EMPLEADO</t>
  </si>
  <si>
    <t>SEGURO SOCIAL</t>
  </si>
  <si>
    <t>BAZÁN POZO, José</t>
  </si>
  <si>
    <t>INTEGRA</t>
  </si>
  <si>
    <t>BELTRAN MATTA, Yordan</t>
  </si>
  <si>
    <t>CONTRATADO</t>
  </si>
  <si>
    <t>HORIZONTE</t>
  </si>
  <si>
    <t>CAMPOS VARA, Esmit</t>
  </si>
  <si>
    <t>CANDIA VIDAL, Josselyn</t>
  </si>
  <si>
    <t>CASTRO DE LA CRUZ, Jack</t>
  </si>
  <si>
    <t>COSTILLA HERRERA, Hector</t>
  </si>
  <si>
    <t>CRUZ AGUIRRE, Roland</t>
  </si>
  <si>
    <t>DIAZ CAMONES, Luis</t>
  </si>
  <si>
    <t>EGUIA SALDARRIAGA, Mishelle</t>
  </si>
  <si>
    <t>¿Cuántas personas tienen 19 años de servicio?</t>
  </si>
  <si>
    <t>¿Cuantos empleados hay en la empresa?</t>
  </si>
  <si>
    <t>¿Cuántos no tienen hijos?</t>
  </si>
  <si>
    <t>¿Cuántas personas tienen mas de 19 años de servicio?</t>
  </si>
  <si>
    <t>¿Cuántas personas ganan 1500 soles en el neto a pagar?</t>
  </si>
  <si>
    <t xml:space="preserve">Fecha de Hoy </t>
  </si>
  <si>
    <t>Nombres</t>
  </si>
  <si>
    <t>Fecha Nacim.</t>
  </si>
  <si>
    <t>Días</t>
  </si>
  <si>
    <t>Años</t>
  </si>
  <si>
    <t>Edad</t>
  </si>
  <si>
    <t>Ordenar alfabéticamente</t>
  </si>
  <si>
    <t>Utilizar tamaño de papel Carta</t>
  </si>
  <si>
    <t>Centrar las tablas Horizontalmente y Verticalmente en la hoja a imprimir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</si>
</sst>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_-&quot;$&quot;\ * #,##0.00_-;\-&quot;$&quot;\ * #,##0.00_-;_-&quot;$&quot;\ * &quot;-&quot;??_-;_-@_-"/>
    <numFmt numFmtId="167" formatCode="&quot;$&quot;\ #,##0.00;[Red]&quot;$&quot;\ \-#,##0.00"/>
    <numFmt numFmtId="168" formatCode="00"/>
    <numFmt numFmtId="169" formatCode="_(&quot;$&quot;* #,##0_);_(&quot;$&quot;* \(#,##0\);_(&quot;$&quot;* &quot;-&quot;??_);_(@_)"/>
  </numFmts>
  <fonts count="28">
    <font>
      <sz val="10"/>
      <name val="Arial"/>
    </font>
    <font>
      <sz val="10"/>
      <name val="Arial"/>
    </font>
    <font>
      <sz val="10"/>
      <name val="Helv"/>
    </font>
    <font>
      <sz val="12"/>
      <name val="Arial"/>
      <family val="2"/>
    </font>
    <font>
      <sz val="14"/>
      <name val="Arial"/>
      <family val="2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color indexed="53"/>
      <name val="Arial"/>
      <family val="2"/>
    </font>
    <font>
      <u val="double"/>
      <sz val="14"/>
      <color indexed="48"/>
      <name val="Architect"/>
    </font>
    <font>
      <sz val="10"/>
      <color indexed="5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indexed="81"/>
      <name val="Tahoma"/>
    </font>
    <font>
      <b/>
      <sz val="12"/>
      <name val="Arial"/>
      <family val="2"/>
    </font>
    <font>
      <b/>
      <sz val="10"/>
      <color indexed="12"/>
      <name val="Arial"/>
      <family val="2"/>
    </font>
    <font>
      <sz val="10"/>
      <name val="Arial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16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indexed="46"/>
      </left>
      <right style="thin">
        <color indexed="64"/>
      </right>
      <top style="slantDashDot">
        <color indexed="46"/>
      </top>
      <bottom style="slantDashDot">
        <color indexed="46"/>
      </bottom>
      <diagonal/>
    </border>
    <border>
      <left style="thin">
        <color indexed="64"/>
      </left>
      <right style="thin">
        <color indexed="64"/>
      </right>
      <top style="slantDashDot">
        <color indexed="46"/>
      </top>
      <bottom style="slantDashDot">
        <color indexed="46"/>
      </bottom>
      <diagonal/>
    </border>
    <border>
      <left style="thin">
        <color indexed="64"/>
      </left>
      <right style="slantDashDot">
        <color indexed="46"/>
      </right>
      <top style="slantDashDot">
        <color indexed="46"/>
      </top>
      <bottom style="slantDashDot">
        <color indexed="4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4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46"/>
      </right>
      <top style="thin">
        <color indexed="64"/>
      </top>
      <bottom style="thin">
        <color indexed="64"/>
      </bottom>
      <diagonal/>
    </border>
    <border>
      <left style="slantDashDot">
        <color indexed="46"/>
      </left>
      <right style="thin">
        <color indexed="64"/>
      </right>
      <top style="thin">
        <color indexed="64"/>
      </top>
      <bottom style="slantDashDot">
        <color indexed="46"/>
      </bottom>
      <diagonal/>
    </border>
    <border>
      <left style="thin">
        <color indexed="64"/>
      </left>
      <right style="slantDashDot">
        <color indexed="46"/>
      </right>
      <top style="thin">
        <color indexed="64"/>
      </top>
      <bottom style="slantDashDot">
        <color indexed="4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46"/>
      </left>
      <right style="slantDashDot">
        <color indexed="46"/>
      </right>
      <top style="slantDashDot">
        <color indexed="46"/>
      </top>
      <bottom style="slantDashDot">
        <color indexed="46"/>
      </bottom>
      <diagonal/>
    </border>
    <border>
      <left style="double">
        <color indexed="64"/>
      </left>
      <right style="dashDotDot">
        <color indexed="64"/>
      </right>
      <top style="double">
        <color indexed="64"/>
      </top>
      <bottom/>
      <diagonal/>
    </border>
    <border>
      <left style="dashDotDot">
        <color indexed="64"/>
      </left>
      <right style="dashDotDot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9"/>
      </left>
      <right/>
      <top style="medium">
        <color indexed="9"/>
      </top>
      <bottom style="thin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9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9"/>
      </right>
      <top/>
      <bottom style="thin">
        <color indexed="64"/>
      </bottom>
      <diagonal/>
    </border>
    <border>
      <left style="medium">
        <color indexed="9"/>
      </left>
      <right style="medium">
        <color indexed="9"/>
      </right>
      <top/>
      <bottom style="thin">
        <color indexed="64"/>
      </bottom>
      <diagonal/>
    </border>
    <border>
      <left style="medium">
        <color indexed="9"/>
      </left>
      <right style="medium">
        <color indexed="64"/>
      </right>
      <top/>
      <bottom style="thin">
        <color indexed="64"/>
      </bottom>
      <diagonal/>
    </border>
    <border>
      <left style="slantDashDot">
        <color indexed="46"/>
      </left>
      <right style="thin">
        <color indexed="64"/>
      </right>
      <top style="slantDashDot">
        <color indexed="46"/>
      </top>
      <bottom style="thin">
        <color indexed="64"/>
      </bottom>
      <diagonal/>
    </border>
    <border>
      <left style="thin">
        <color indexed="64"/>
      </left>
      <right style="slantDashDot">
        <color indexed="46"/>
      </right>
      <top style="slantDashDot">
        <color indexed="46"/>
      </top>
      <bottom style="thin">
        <color indexed="64"/>
      </bottom>
      <diagonal/>
    </border>
    <border>
      <left style="slantDashDot">
        <color indexed="46"/>
      </left>
      <right/>
      <top style="slantDashDot">
        <color indexed="46"/>
      </top>
      <bottom style="slantDashDot">
        <color indexed="46"/>
      </bottom>
      <diagonal/>
    </border>
    <border>
      <left/>
      <right/>
      <top style="slantDashDot">
        <color indexed="46"/>
      </top>
      <bottom style="slantDashDot">
        <color indexed="46"/>
      </bottom>
      <diagonal/>
    </border>
    <border>
      <left/>
      <right style="slantDashDot">
        <color indexed="46"/>
      </right>
      <top style="slantDashDot">
        <color indexed="46"/>
      </top>
      <bottom style="slantDashDot">
        <color indexed="4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19" fillId="0" borderId="0"/>
    <xf numFmtId="0" fontId="2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/>
    <xf numFmtId="0" fontId="5" fillId="2" borderId="1" xfId="0" applyFont="1" applyFill="1" applyBorder="1"/>
    <xf numFmtId="9" fontId="5" fillId="0" borderId="1" xfId="0" applyNumberFormat="1" applyFont="1" applyBorder="1"/>
    <xf numFmtId="0" fontId="6" fillId="2" borderId="2" xfId="3" applyFont="1" applyFill="1" applyBorder="1"/>
    <xf numFmtId="0" fontId="7" fillId="0" borderId="3" xfId="3" applyFont="1" applyBorder="1"/>
    <xf numFmtId="164" fontId="7" fillId="0" borderId="3" xfId="3" applyNumberFormat="1" applyFont="1" applyBorder="1"/>
    <xf numFmtId="0" fontId="7" fillId="0" borderId="4" xfId="3" applyFont="1" applyBorder="1"/>
    <xf numFmtId="164" fontId="7" fillId="0" borderId="4" xfId="3" applyNumberFormat="1" applyFont="1" applyBorder="1"/>
    <xf numFmtId="0" fontId="0" fillId="2" borderId="0" xfId="0" applyFill="1"/>
    <xf numFmtId="165" fontId="9" fillId="2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right"/>
    </xf>
    <xf numFmtId="0" fontId="0" fillId="0" borderId="15" xfId="0" applyBorder="1"/>
    <xf numFmtId="0" fontId="10" fillId="0" borderId="0" xfId="0" applyFont="1"/>
    <xf numFmtId="0" fontId="0" fillId="3" borderId="14" xfId="0" applyFill="1" applyBorder="1"/>
    <xf numFmtId="0" fontId="0" fillId="4" borderId="1" xfId="0" applyFill="1" applyBorder="1"/>
    <xf numFmtId="0" fontId="0" fillId="5" borderId="1" xfId="0" applyFill="1" applyBorder="1"/>
    <xf numFmtId="14" fontId="0" fillId="4" borderId="1" xfId="0" applyNumberFormat="1" applyFill="1" applyBorder="1"/>
    <xf numFmtId="0" fontId="12" fillId="0" borderId="0" xfId="0" applyFont="1"/>
    <xf numFmtId="0" fontId="6" fillId="2" borderId="16" xfId="0" applyFont="1" applyFill="1" applyBorder="1"/>
    <xf numFmtId="0" fontId="0" fillId="2" borderId="17" xfId="0" applyFill="1" applyBorder="1"/>
    <xf numFmtId="165" fontId="1" fillId="2" borderId="17" xfId="1" applyFill="1" applyBorder="1"/>
    <xf numFmtId="0" fontId="0" fillId="0" borderId="18" xfId="0" applyBorder="1"/>
    <xf numFmtId="165" fontId="1" fillId="0" borderId="19" xfId="1" applyBorder="1"/>
    <xf numFmtId="10" fontId="1" fillId="0" borderId="9" xfId="4" applyNumberFormat="1" applyBorder="1"/>
    <xf numFmtId="165" fontId="13" fillId="0" borderId="9" xfId="1" applyFont="1" applyBorder="1"/>
    <xf numFmtId="0" fontId="0" fillId="0" borderId="20" xfId="0" applyBorder="1"/>
    <xf numFmtId="165" fontId="1" fillId="0" borderId="21" xfId="1" applyBorder="1"/>
    <xf numFmtId="10" fontId="1" fillId="0" borderId="1" xfId="4" applyNumberFormat="1" applyBorder="1"/>
    <xf numFmtId="165" fontId="1" fillId="0" borderId="22" xfId="1" applyBorder="1"/>
    <xf numFmtId="10" fontId="1" fillId="0" borderId="14" xfId="4" applyNumberFormat="1" applyBorder="1"/>
    <xf numFmtId="0" fontId="6" fillId="0" borderId="23" xfId="0" applyFont="1" applyBorder="1" applyAlignment="1">
      <alignment horizontal="right"/>
    </xf>
    <xf numFmtId="10" fontId="1" fillId="0" borderId="25" xfId="4" applyNumberFormat="1" applyBorder="1"/>
    <xf numFmtId="165" fontId="1" fillId="0" borderId="25" xfId="1" applyBorder="1"/>
    <xf numFmtId="0" fontId="15" fillId="0" borderId="0" xfId="0" applyFont="1"/>
    <xf numFmtId="0" fontId="15" fillId="0" borderId="26" xfId="0" applyFont="1" applyBorder="1"/>
    <xf numFmtId="0" fontId="15" fillId="0" borderId="27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/>
    <xf numFmtId="0" fontId="15" fillId="0" borderId="30" xfId="0" applyFont="1" applyBorder="1" applyAlignment="1">
      <alignment horizontal="center"/>
    </xf>
    <xf numFmtId="9" fontId="15" fillId="0" borderId="30" xfId="0" applyNumberFormat="1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9" xfId="0" applyFont="1" applyBorder="1"/>
    <xf numFmtId="2" fontId="15" fillId="0" borderId="9" xfId="0" applyNumberFormat="1" applyFont="1" applyBorder="1"/>
    <xf numFmtId="0" fontId="15" fillId="0" borderId="1" xfId="0" applyFont="1" applyBorder="1"/>
    <xf numFmtId="2" fontId="15" fillId="0" borderId="1" xfId="0" applyNumberFormat="1" applyFont="1" applyBorder="1"/>
    <xf numFmtId="0" fontId="6" fillId="0" borderId="0" xfId="0" applyFont="1"/>
    <xf numFmtId="0" fontId="18" fillId="0" borderId="0" xfId="0" applyFont="1"/>
    <xf numFmtId="165" fontId="9" fillId="0" borderId="0" xfId="1" applyFont="1"/>
    <xf numFmtId="0" fontId="5" fillId="2" borderId="14" xfId="0" applyFont="1" applyFill="1" applyBorder="1"/>
    <xf numFmtId="165" fontId="8" fillId="0" borderId="32" xfId="1" applyFont="1" applyBorder="1"/>
    <xf numFmtId="165" fontId="8" fillId="0" borderId="33" xfId="1" applyFont="1" applyBorder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167" fontId="11" fillId="0" borderId="0" xfId="0" applyNumberFormat="1" applyFont="1" applyAlignment="1">
      <alignment horizontal="center" vertical="center"/>
    </xf>
    <xf numFmtId="2" fontId="0" fillId="0" borderId="0" xfId="0" applyNumberFormat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7" fontId="11" fillId="0" borderId="0" xfId="0" applyNumberFormat="1" applyFont="1" applyAlignment="1">
      <alignment vertical="center"/>
    </xf>
    <xf numFmtId="0" fontId="4" fillId="0" borderId="0" xfId="0" applyFont="1" applyAlignment="1">
      <alignment textRotation="90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0" borderId="1" xfId="0" applyFill="1" applyBorder="1"/>
    <xf numFmtId="0" fontId="0" fillId="0" borderId="0" xfId="0" applyAlignment="1">
      <alignment horizontal="left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26" fillId="11" borderId="65" xfId="0" applyFont="1" applyFill="1" applyBorder="1"/>
    <xf numFmtId="0" fontId="0" fillId="12" borderId="66" xfId="0" applyFill="1" applyBorder="1" applyAlignment="1">
      <alignment horizontal="center" vertical="center"/>
    </xf>
    <xf numFmtId="0" fontId="0" fillId="12" borderId="67" xfId="0" applyFill="1" applyBorder="1" applyAlignment="1">
      <alignment horizontal="center" vertical="center"/>
    </xf>
    <xf numFmtId="0" fontId="0" fillId="13" borderId="68" xfId="0" applyFill="1" applyBorder="1" applyAlignment="1">
      <alignment horizontal="center" vertical="center"/>
    </xf>
    <xf numFmtId="0" fontId="0" fillId="13" borderId="69" xfId="0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0" fontId="0" fillId="12" borderId="69" xfId="0" applyFill="1" applyBorder="1" applyAlignment="1">
      <alignment horizontal="center" vertical="center"/>
    </xf>
    <xf numFmtId="0" fontId="21" fillId="6" borderId="37" xfId="2" applyFont="1" applyFill="1" applyBorder="1" applyAlignment="1">
      <alignment horizontal="center" vertical="center"/>
    </xf>
    <xf numFmtId="0" fontId="21" fillId="6" borderId="38" xfId="2" applyFont="1" applyFill="1" applyBorder="1" applyAlignment="1">
      <alignment horizontal="center" vertical="center"/>
    </xf>
    <xf numFmtId="0" fontId="21" fillId="6" borderId="39" xfId="2" applyFont="1" applyFill="1" applyBorder="1" applyAlignment="1">
      <alignment horizontal="center" vertical="center"/>
    </xf>
    <xf numFmtId="168" fontId="6" fillId="5" borderId="40" xfId="2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left" vertical="center" shrinkToFit="1"/>
    </xf>
    <xf numFmtId="168" fontId="6" fillId="5" borderId="1" xfId="2" applyNumberFormat="1" applyFont="1" applyFill="1" applyBorder="1" applyAlignment="1">
      <alignment horizontal="center" vertical="center"/>
    </xf>
    <xf numFmtId="168" fontId="6" fillId="5" borderId="41" xfId="2" applyNumberFormat="1" applyFont="1" applyFill="1" applyBorder="1" applyAlignment="1">
      <alignment horizontal="center" vertical="center"/>
    </xf>
    <xf numFmtId="168" fontId="6" fillId="5" borderId="42" xfId="2" applyNumberFormat="1" applyFont="1" applyFill="1" applyBorder="1" applyAlignment="1">
      <alignment horizontal="center" vertical="center"/>
    </xf>
    <xf numFmtId="0" fontId="6" fillId="5" borderId="43" xfId="2" applyFont="1" applyFill="1" applyBorder="1" applyAlignment="1">
      <alignment horizontal="left" vertical="center" shrinkToFit="1"/>
    </xf>
    <xf numFmtId="168" fontId="6" fillId="5" borderId="43" xfId="2" applyNumberFormat="1" applyFont="1" applyFill="1" applyBorder="1" applyAlignment="1">
      <alignment horizontal="center" vertical="center"/>
    </xf>
    <xf numFmtId="168" fontId="6" fillId="5" borderId="44" xfId="2" applyNumberFormat="1" applyFont="1" applyFill="1" applyBorder="1" applyAlignment="1">
      <alignment horizontal="center" vertical="center"/>
    </xf>
    <xf numFmtId="0" fontId="19" fillId="0" borderId="0" xfId="2"/>
    <xf numFmtId="0" fontId="6" fillId="7" borderId="21" xfId="2" applyFont="1" applyFill="1" applyBorder="1"/>
    <xf numFmtId="0" fontId="6" fillId="8" borderId="1" xfId="2" applyFont="1" applyFill="1" applyBorder="1" applyAlignment="1">
      <alignment horizontal="center" vertical="center"/>
    </xf>
    <xf numFmtId="0" fontId="22" fillId="6" borderId="45" xfId="2" applyFont="1" applyFill="1" applyBorder="1" applyAlignment="1">
      <alignment horizontal="center" vertical="center" wrapText="1"/>
    </xf>
    <xf numFmtId="0" fontId="22" fillId="6" borderId="46" xfId="2" applyFont="1" applyFill="1" applyBorder="1" applyAlignment="1">
      <alignment horizontal="center" vertical="center" wrapText="1"/>
    </xf>
    <xf numFmtId="0" fontId="22" fillId="6" borderId="47" xfId="2" applyFont="1" applyFill="1" applyBorder="1" applyAlignment="1">
      <alignment horizontal="center" vertical="center" wrapText="1"/>
    </xf>
    <xf numFmtId="168" fontId="23" fillId="5" borderId="40" xfId="2" applyNumberFormat="1" applyFont="1" applyFill="1" applyBorder="1" applyAlignment="1">
      <alignment horizontal="center"/>
    </xf>
    <xf numFmtId="0" fontId="24" fillId="5" borderId="9" xfId="2" applyFont="1" applyFill="1" applyBorder="1" applyAlignment="1">
      <alignment horizontal="left" vertical="center" shrinkToFit="1"/>
    </xf>
    <xf numFmtId="0" fontId="23" fillId="5" borderId="1" xfId="2" applyFont="1" applyFill="1" applyBorder="1" applyAlignment="1">
      <alignment horizontal="center"/>
    </xf>
    <xf numFmtId="0" fontId="24" fillId="5" borderId="1" xfId="2" applyFont="1" applyFill="1" applyBorder="1" applyAlignment="1">
      <alignment horizontal="center"/>
    </xf>
    <xf numFmtId="0" fontId="23" fillId="5" borderId="41" xfId="2" applyFont="1" applyFill="1" applyBorder="1" applyAlignment="1">
      <alignment horizontal="center"/>
    </xf>
    <xf numFmtId="0" fontId="24" fillId="5" borderId="1" xfId="2" applyFont="1" applyFill="1" applyBorder="1" applyAlignment="1">
      <alignment horizontal="left" vertical="center" shrinkToFit="1"/>
    </xf>
    <xf numFmtId="168" fontId="23" fillId="5" borderId="42" xfId="2" applyNumberFormat="1" applyFont="1" applyFill="1" applyBorder="1" applyAlignment="1">
      <alignment horizontal="center"/>
    </xf>
    <xf numFmtId="0" fontId="24" fillId="5" borderId="43" xfId="2" applyFont="1" applyFill="1" applyBorder="1" applyAlignment="1">
      <alignment horizontal="left" vertical="center" shrinkToFit="1"/>
    </xf>
    <xf numFmtId="0" fontId="23" fillId="5" borderId="43" xfId="2" applyFont="1" applyFill="1" applyBorder="1" applyAlignment="1">
      <alignment horizontal="center"/>
    </xf>
    <xf numFmtId="0" fontId="24" fillId="5" borderId="43" xfId="2" applyFont="1" applyFill="1" applyBorder="1" applyAlignment="1">
      <alignment horizontal="center"/>
    </xf>
    <xf numFmtId="0" fontId="23" fillId="5" borderId="44" xfId="2" applyFont="1" applyFill="1" applyBorder="1" applyAlignment="1">
      <alignment horizontal="center"/>
    </xf>
    <xf numFmtId="0" fontId="23" fillId="7" borderId="1" xfId="2" applyFont="1" applyFill="1" applyBorder="1"/>
    <xf numFmtId="168" fontId="23" fillId="8" borderId="1" xfId="2" applyNumberFormat="1" applyFont="1" applyFill="1" applyBorder="1" applyAlignment="1">
      <alignment horizontal="center"/>
    </xf>
    <xf numFmtId="0" fontId="19" fillId="8" borderId="1" xfId="2" applyFill="1" applyBorder="1"/>
    <xf numFmtId="0" fontId="25" fillId="0" borderId="0" xfId="0" applyFont="1"/>
    <xf numFmtId="16" fontId="0" fillId="0" borderId="0" xfId="0" applyNumberFormat="1"/>
    <xf numFmtId="9" fontId="0" fillId="0" borderId="1" xfId="0" applyNumberFormat="1" applyBorder="1"/>
    <xf numFmtId="165" fontId="0" fillId="0" borderId="9" xfId="1" applyNumberFormat="1" applyFont="1" applyBorder="1"/>
    <xf numFmtId="165" fontId="15" fillId="0" borderId="0" xfId="1" applyFont="1"/>
    <xf numFmtId="166" fontId="0" fillId="0" borderId="9" xfId="0" applyNumberFormat="1" applyBorder="1"/>
    <xf numFmtId="0" fontId="0" fillId="0" borderId="1" xfId="0" applyBorder="1" applyAlignment="1">
      <alignment textRotation="90"/>
    </xf>
    <xf numFmtId="0" fontId="0" fillId="0" borderId="35" xfId="0" applyBorder="1" applyAlignment="1"/>
    <xf numFmtId="0" fontId="0" fillId="0" borderId="63" xfId="0" applyBorder="1" applyAlignment="1"/>
    <xf numFmtId="0" fontId="0" fillId="0" borderId="21" xfId="0" applyBorder="1" applyAlignment="1"/>
    <xf numFmtId="169" fontId="0" fillId="0" borderId="1" xfId="1" applyNumberFormat="1" applyFont="1" applyBorder="1"/>
    <xf numFmtId="169" fontId="0" fillId="0" borderId="1" xfId="0" applyNumberFormat="1" applyBorder="1"/>
    <xf numFmtId="166" fontId="0" fillId="0" borderId="1" xfId="0" applyNumberFormat="1" applyBorder="1"/>
    <xf numFmtId="0" fontId="0" fillId="0" borderId="1" xfId="0" applyFill="1" applyBorder="1"/>
    <xf numFmtId="169" fontId="9" fillId="2" borderId="5" xfId="1" applyNumberFormat="1" applyFont="1" applyFill="1" applyBorder="1"/>
    <xf numFmtId="0" fontId="6" fillId="8" borderId="1" xfId="2" applyFont="1" applyFill="1" applyBorder="1" applyAlignment="1">
      <alignment horizontal="left" vertical="center"/>
    </xf>
    <xf numFmtId="165" fontId="1" fillId="10" borderId="1" xfId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14" xfId="0" applyBorder="1" applyAlignment="1">
      <alignment horizontal="center" textRotation="90"/>
    </xf>
    <xf numFmtId="0" fontId="0" fillId="0" borderId="64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17" fillId="8" borderId="50" xfId="0" applyFont="1" applyFill="1" applyBorder="1" applyAlignment="1">
      <alignment horizontal="center"/>
    </xf>
    <xf numFmtId="0" fontId="17" fillId="8" borderId="51" xfId="0" applyFont="1" applyFill="1" applyBorder="1" applyAlignment="1">
      <alignment horizontal="center"/>
    </xf>
    <xf numFmtId="0" fontId="17" fillId="8" borderId="52" xfId="0" applyFont="1" applyFill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63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27" fillId="14" borderId="0" xfId="0" applyFont="1" applyFill="1" applyAlignment="1">
      <alignment horizontal="center" vertical="center"/>
    </xf>
    <xf numFmtId="0" fontId="6" fillId="8" borderId="1" xfId="2" applyFont="1" applyFill="1" applyBorder="1" applyAlignment="1">
      <alignment horizontal="left" vertical="center"/>
    </xf>
    <xf numFmtId="0" fontId="6" fillId="8" borderId="36" xfId="2" applyFont="1" applyFill="1" applyBorder="1" applyAlignment="1">
      <alignment horizontal="left" vertical="center"/>
    </xf>
    <xf numFmtId="0" fontId="6" fillId="8" borderId="56" xfId="2" applyFont="1" applyFill="1" applyBorder="1" applyAlignment="1">
      <alignment horizontal="left" vertical="center"/>
    </xf>
    <xf numFmtId="0" fontId="6" fillId="8" borderId="22" xfId="2" applyFont="1" applyFill="1" applyBorder="1" applyAlignment="1">
      <alignment horizontal="left" vertical="center"/>
    </xf>
    <xf numFmtId="0" fontId="20" fillId="6" borderId="57" xfId="2" applyFont="1" applyFill="1" applyBorder="1" applyAlignment="1">
      <alignment horizontal="center" vertical="center"/>
    </xf>
    <xf numFmtId="0" fontId="20" fillId="6" borderId="58" xfId="2" applyFont="1" applyFill="1" applyBorder="1" applyAlignment="1">
      <alignment horizontal="center" vertical="center"/>
    </xf>
    <xf numFmtId="0" fontId="20" fillId="6" borderId="59" xfId="2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left" vertical="center" shrinkToFit="1"/>
    </xf>
    <xf numFmtId="0" fontId="6" fillId="8" borderId="1" xfId="2" applyFont="1" applyFill="1" applyBorder="1" applyAlignment="1">
      <alignment horizontal="left"/>
    </xf>
    <xf numFmtId="0" fontId="19" fillId="8" borderId="1" xfId="2" applyFill="1" applyBorder="1" applyAlignment="1">
      <alignment horizontal="center"/>
    </xf>
    <xf numFmtId="0" fontId="17" fillId="0" borderId="60" xfId="2" applyFont="1" applyBorder="1" applyAlignment="1">
      <alignment horizontal="center" vertical="center"/>
    </xf>
    <xf numFmtId="0" fontId="17" fillId="0" borderId="61" xfId="2" applyFont="1" applyBorder="1" applyAlignment="1">
      <alignment horizontal="center" vertical="center"/>
    </xf>
    <xf numFmtId="0" fontId="17" fillId="0" borderId="28" xfId="2" applyFont="1" applyBorder="1" applyAlignment="1">
      <alignment horizontal="center" vertical="center"/>
    </xf>
    <xf numFmtId="0" fontId="17" fillId="0" borderId="62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7" fillId="0" borderId="31" xfId="2" applyFont="1" applyBorder="1" applyAlignment="1">
      <alignment horizontal="center" vertical="center"/>
    </xf>
    <xf numFmtId="0" fontId="6" fillId="7" borderId="35" xfId="2" applyFont="1" applyFill="1" applyBorder="1" applyAlignment="1">
      <alignment horizontal="left"/>
    </xf>
    <xf numFmtId="0" fontId="6" fillId="7" borderId="63" xfId="2" applyFont="1" applyFill="1" applyBorder="1" applyAlignment="1">
      <alignment horizontal="left"/>
    </xf>
    <xf numFmtId="0" fontId="6" fillId="7" borderId="21" xfId="2" applyFont="1" applyFill="1" applyBorder="1" applyAlignment="1">
      <alignment horizontal="left"/>
    </xf>
    <xf numFmtId="165" fontId="0" fillId="0" borderId="24" xfId="0" applyNumberFormat="1" applyBorder="1"/>
  </cellXfs>
  <cellStyles count="5">
    <cellStyle name="Moneda" xfId="1" builtinId="4"/>
    <cellStyle name="Normal" xfId="0" builtinId="0"/>
    <cellStyle name="Normal 2" xfId="2" xr:uid="{49E8F489-BCF9-4EBF-A48E-3B094C23C967}"/>
    <cellStyle name="Normal_Prices" xfId="3" xr:uid="{919EB1AE-4382-453E-9819-26D2870E49BF}"/>
    <cellStyle name="Porcentaje" xfId="4" builtinId="5"/>
  </cellStyles>
  <dxfs count="7"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85725</xdr:rowOff>
    </xdr:from>
    <xdr:to>
      <xdr:col>4</xdr:col>
      <xdr:colOff>161925</xdr:colOff>
      <xdr:row>8</xdr:row>
      <xdr:rowOff>47625</xdr:rowOff>
    </xdr:to>
    <xdr:pic>
      <xdr:nvPicPr>
        <xdr:cNvPr id="1129" name="Picture 9">
          <a:extLst>
            <a:ext uri="{FF2B5EF4-FFF2-40B4-BE49-F238E27FC236}">
              <a16:creationId xmlns:a16="http://schemas.microsoft.com/office/drawing/2014/main" id="{69C43C03-EA7D-EAAA-51BB-9434DDC37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9" t="25652" r="56641" b="49609"/>
        <a:stretch>
          <a:fillRect/>
        </a:stretch>
      </xdr:blipFill>
      <xdr:spPr bwMode="auto">
        <a:xfrm>
          <a:off x="180975" y="85725"/>
          <a:ext cx="47625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8</xdr:row>
      <xdr:rowOff>47625</xdr:rowOff>
    </xdr:from>
    <xdr:to>
      <xdr:col>2</xdr:col>
      <xdr:colOff>342900</xdr:colOff>
      <xdr:row>12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A3DD165-2905-0AE5-20D1-D02366A77EE0}"/>
            </a:ext>
          </a:extLst>
        </xdr:cNvPr>
        <xdr:cNvSpPr>
          <a:spLocks/>
        </xdr:cNvSpPr>
      </xdr:nvSpPr>
      <xdr:spPr bwMode="auto">
        <a:xfrm>
          <a:off x="314325" y="1924050"/>
          <a:ext cx="828675" cy="733425"/>
        </a:xfrm>
        <a:prstGeom prst="borderCallout2">
          <a:avLst>
            <a:gd name="adj1" fmla="val 15583"/>
            <a:gd name="adj2" fmla="val 109194"/>
            <a:gd name="adj3" fmla="val 15583"/>
            <a:gd name="adj4" fmla="val 111495"/>
            <a:gd name="adj5" fmla="val -159741"/>
            <a:gd name="adj6" fmla="val 111495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Completar con los Nombres de Vendedores</a:t>
          </a:r>
        </a:p>
      </xdr:txBody>
    </xdr:sp>
    <xdr:clientData/>
  </xdr:twoCellAnchor>
  <xdr:twoCellAnchor>
    <xdr:from>
      <xdr:col>2</xdr:col>
      <xdr:colOff>400050</xdr:colOff>
      <xdr:row>9</xdr:row>
      <xdr:rowOff>28575</xdr:rowOff>
    </xdr:from>
    <xdr:to>
      <xdr:col>2</xdr:col>
      <xdr:colOff>1666875</xdr:colOff>
      <xdr:row>12</xdr:row>
      <xdr:rowOff>142875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5911B42-6A99-8C3B-D6EB-8FD3CAD541F4}"/>
            </a:ext>
          </a:extLst>
        </xdr:cNvPr>
        <xdr:cNvSpPr>
          <a:spLocks/>
        </xdr:cNvSpPr>
      </xdr:nvSpPr>
      <xdr:spPr bwMode="auto">
        <a:xfrm>
          <a:off x="1200150" y="2038350"/>
          <a:ext cx="1266825" cy="600075"/>
        </a:xfrm>
        <a:prstGeom prst="borderCallout2">
          <a:avLst>
            <a:gd name="adj1" fmla="val 16903"/>
            <a:gd name="adj2" fmla="val 110000"/>
            <a:gd name="adj3" fmla="val 16903"/>
            <a:gd name="adj4" fmla="val 111250"/>
            <a:gd name="adj5" fmla="val -176056"/>
            <a:gd name="adj6" fmla="val 112500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Completar con Marcas de Autos</a:t>
          </a:r>
        </a:p>
      </xdr:txBody>
    </xdr:sp>
    <xdr:clientData/>
  </xdr:twoCellAnchor>
  <xdr:twoCellAnchor>
    <xdr:from>
      <xdr:col>3</xdr:col>
      <xdr:colOff>790575</xdr:colOff>
      <xdr:row>9</xdr:row>
      <xdr:rowOff>95250</xdr:rowOff>
    </xdr:from>
    <xdr:to>
      <xdr:col>3</xdr:col>
      <xdr:colOff>1714500</xdr:colOff>
      <xdr:row>13</xdr:row>
      <xdr:rowOff>85725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5C585F7-E90B-4AD7-F887-2288369932C9}"/>
            </a:ext>
          </a:extLst>
        </xdr:cNvPr>
        <xdr:cNvSpPr>
          <a:spLocks/>
        </xdr:cNvSpPr>
      </xdr:nvSpPr>
      <xdr:spPr bwMode="auto">
        <a:xfrm>
          <a:off x="3305175" y="2105025"/>
          <a:ext cx="923925" cy="638175"/>
        </a:xfrm>
        <a:prstGeom prst="borderCallout2">
          <a:avLst>
            <a:gd name="adj1" fmla="val 17912"/>
            <a:gd name="adj2" fmla="val -8245"/>
            <a:gd name="adj3" fmla="val 17912"/>
            <a:gd name="adj4" fmla="val -8245"/>
            <a:gd name="adj5" fmla="val -186569"/>
            <a:gd name="adj6" fmla="val -9278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Completar con los Precio de los autos</a:t>
          </a:r>
        </a:p>
      </xdr:txBody>
    </xdr:sp>
    <xdr:clientData/>
  </xdr:twoCellAnchor>
  <xdr:twoCellAnchor>
    <xdr:from>
      <xdr:col>4</xdr:col>
      <xdr:colOff>295275</xdr:colOff>
      <xdr:row>3</xdr:row>
      <xdr:rowOff>133350</xdr:rowOff>
    </xdr:from>
    <xdr:to>
      <xdr:col>6</xdr:col>
      <xdr:colOff>476250</xdr:colOff>
      <xdr:row>11</xdr:row>
      <xdr:rowOff>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6EAAE34A-D173-89BC-EC58-662300F0BC43}"/>
            </a:ext>
          </a:extLst>
        </xdr:cNvPr>
        <xdr:cNvSpPr>
          <a:spLocks/>
        </xdr:cNvSpPr>
      </xdr:nvSpPr>
      <xdr:spPr bwMode="auto">
        <a:xfrm>
          <a:off x="5267325" y="714375"/>
          <a:ext cx="1781175" cy="1619250"/>
        </a:xfrm>
        <a:prstGeom prst="borderCallout2">
          <a:avLst>
            <a:gd name="adj1" fmla="val 7597"/>
            <a:gd name="adj2" fmla="val -4278"/>
            <a:gd name="adj3" fmla="val 7597"/>
            <a:gd name="adj4" fmla="val -22458"/>
            <a:gd name="adj5" fmla="val 8227"/>
            <a:gd name="adj6" fmla="val -37435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la ganancia obtenida por cada vendedor como el porcentaje F2 del precio del automóvil E4.</a:t>
          </a:r>
        </a:p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Luego llenar las demás filas con autollenado</a:t>
          </a:r>
        </a:p>
        <a:p>
          <a:pPr algn="l" rtl="0">
            <a:defRPr sz="1000"/>
          </a:pPr>
          <a:r>
            <a:rPr lang="es-AR" sz="1000" b="1" i="0" strike="noStrike">
              <a:solidFill>
                <a:srgbClr val="000000"/>
              </a:solidFill>
              <a:latin typeface="Arial"/>
              <a:cs typeface="Arial"/>
            </a:rPr>
            <a:t>Utilizar adecuadamente referencias mixtas y/o absolutas.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371475</xdr:colOff>
      <xdr:row>14</xdr:row>
      <xdr:rowOff>57150</xdr:rowOff>
    </xdr:to>
    <xdr:pic>
      <xdr:nvPicPr>
        <xdr:cNvPr id="7190" name="Picture 1">
          <a:extLst>
            <a:ext uri="{FF2B5EF4-FFF2-40B4-BE49-F238E27FC236}">
              <a16:creationId xmlns:a16="http://schemas.microsoft.com/office/drawing/2014/main" id="{4384522E-B4D4-DAFE-B6DD-E464230A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4" t="23828" r="34961" b="44402"/>
        <a:stretch>
          <a:fillRect/>
        </a:stretch>
      </xdr:blipFill>
      <xdr:spPr bwMode="auto">
        <a:xfrm>
          <a:off x="0" y="0"/>
          <a:ext cx="61150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29</xdr:row>
      <xdr:rowOff>38100</xdr:rowOff>
    </xdr:from>
    <xdr:to>
      <xdr:col>10</xdr:col>
      <xdr:colOff>571500</xdr:colOff>
      <xdr:row>33</xdr:row>
      <xdr:rowOff>104775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0E60808A-B241-4824-D73E-54F9CCDD71ED}"/>
            </a:ext>
          </a:extLst>
        </xdr:cNvPr>
        <xdr:cNvSpPr>
          <a:spLocks/>
        </xdr:cNvSpPr>
      </xdr:nvSpPr>
      <xdr:spPr bwMode="auto">
        <a:xfrm>
          <a:off x="4371975" y="4848225"/>
          <a:ext cx="4524375" cy="714375"/>
        </a:xfrm>
        <a:prstGeom prst="borderCallout2">
          <a:avLst>
            <a:gd name="adj1" fmla="val 16000"/>
            <a:gd name="adj2" fmla="val -1685"/>
            <a:gd name="adj3" fmla="val -14667"/>
            <a:gd name="adj4" fmla="val -2105"/>
            <a:gd name="adj5" fmla="val -552000"/>
            <a:gd name="adj6" fmla="val -2106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La comisión se calcula como la comisión fija más el porcentaje de la comisión variable del salario. Recordar que la fórmula es una sola, con las correspondientes referencias relativas, mixtas o absoluta; y luego autollenar en las demás celdas.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0</xdr:row>
      <xdr:rowOff>47625</xdr:rowOff>
    </xdr:from>
    <xdr:to>
      <xdr:col>6</xdr:col>
      <xdr:colOff>38100</xdr:colOff>
      <xdr:row>2</xdr:row>
      <xdr:rowOff>85725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D618F54-9A7E-B9B6-FC6D-24956423D723}"/>
            </a:ext>
          </a:extLst>
        </xdr:cNvPr>
        <xdr:cNvSpPr>
          <a:spLocks/>
        </xdr:cNvSpPr>
      </xdr:nvSpPr>
      <xdr:spPr bwMode="auto">
        <a:xfrm>
          <a:off x="2762250" y="47625"/>
          <a:ext cx="2381250" cy="361950"/>
        </a:xfrm>
        <a:prstGeom prst="borderCallout2">
          <a:avLst>
            <a:gd name="adj1" fmla="val 31579"/>
            <a:gd name="adj2" fmla="val -3199"/>
            <a:gd name="adj3" fmla="val 31579"/>
            <a:gd name="adj4" fmla="val -22000"/>
            <a:gd name="adj5" fmla="val 100000"/>
            <a:gd name="adj6" fmla="val -36801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Encontrar una función que devuelva la fecha actual.</a:t>
          </a:r>
        </a:p>
      </xdr:txBody>
    </xdr:sp>
    <xdr:clientData/>
  </xdr:twoCellAnchor>
  <xdr:twoCellAnchor>
    <xdr:from>
      <xdr:col>0</xdr:col>
      <xdr:colOff>0</xdr:colOff>
      <xdr:row>12</xdr:row>
      <xdr:rowOff>19050</xdr:rowOff>
    </xdr:from>
    <xdr:to>
      <xdr:col>2</xdr:col>
      <xdr:colOff>581025</xdr:colOff>
      <xdr:row>15</xdr:row>
      <xdr:rowOff>57150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F07AF0D6-B3BF-C11A-02CF-00BF9525B869}"/>
            </a:ext>
          </a:extLst>
        </xdr:cNvPr>
        <xdr:cNvSpPr>
          <a:spLocks/>
        </xdr:cNvSpPr>
      </xdr:nvSpPr>
      <xdr:spPr bwMode="auto">
        <a:xfrm>
          <a:off x="0" y="1962150"/>
          <a:ext cx="2638425" cy="523875"/>
        </a:xfrm>
        <a:prstGeom prst="borderCallout2">
          <a:avLst>
            <a:gd name="adj1" fmla="val 21819"/>
            <a:gd name="adj2" fmla="val 20218"/>
            <a:gd name="adj3" fmla="val 21819"/>
            <a:gd name="adj4" fmla="val 20218"/>
            <a:gd name="adj5" fmla="val -180000"/>
            <a:gd name="adj6" fmla="val 23468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Previamente crear una lista de nombres (Herramienta_Opciones_Personalizar listas) e insertarlos con llenado automático.</a:t>
          </a:r>
        </a:p>
      </xdr:txBody>
    </xdr:sp>
    <xdr:clientData/>
  </xdr:twoCellAnchor>
  <xdr:twoCellAnchor>
    <xdr:from>
      <xdr:col>4</xdr:col>
      <xdr:colOff>28575</xdr:colOff>
      <xdr:row>25</xdr:row>
      <xdr:rowOff>66675</xdr:rowOff>
    </xdr:from>
    <xdr:to>
      <xdr:col>7</xdr:col>
      <xdr:colOff>266700</xdr:colOff>
      <xdr:row>28</xdr:row>
      <xdr:rowOff>19050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566EDC2C-1243-0FC9-2A91-364006EC170B}"/>
            </a:ext>
          </a:extLst>
        </xdr:cNvPr>
        <xdr:cNvSpPr>
          <a:spLocks/>
        </xdr:cNvSpPr>
      </xdr:nvSpPr>
      <xdr:spPr bwMode="auto">
        <a:xfrm>
          <a:off x="3609975" y="4114800"/>
          <a:ext cx="2524125" cy="438150"/>
        </a:xfrm>
        <a:prstGeom prst="borderCallout2">
          <a:avLst>
            <a:gd name="adj1" fmla="val 26088"/>
            <a:gd name="adj2" fmla="val -3019"/>
            <a:gd name="adj3" fmla="val 26088"/>
            <a:gd name="adj4" fmla="val -26037"/>
            <a:gd name="adj5" fmla="val -223912"/>
            <a:gd name="adj6" fmla="val -49056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Crear una </a:t>
          </a:r>
          <a:r>
            <a:rPr lang="es-AR" sz="1000" b="1" i="0" strike="noStrike">
              <a:solidFill>
                <a:srgbClr val="000000"/>
              </a:solidFill>
              <a:latin typeface="Arial"/>
              <a:cs typeface="Arial"/>
            </a:rPr>
            <a:t>única</a:t>
          </a: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 fórmula y/o función y luego llenar el cuadro con llenado automático.</a:t>
          </a:r>
        </a:p>
      </xdr:txBody>
    </xdr:sp>
    <xdr:clientData/>
  </xdr:twoCellAnchor>
  <xdr:twoCellAnchor>
    <xdr:from>
      <xdr:col>2</xdr:col>
      <xdr:colOff>247650</xdr:colOff>
      <xdr:row>10</xdr:row>
      <xdr:rowOff>152400</xdr:rowOff>
    </xdr:from>
    <xdr:to>
      <xdr:col>6</xdr:col>
      <xdr:colOff>66675</xdr:colOff>
      <xdr:row>16</xdr:row>
      <xdr:rowOff>19050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F68CB1EC-1774-7795-7978-6DC32A5CE657}"/>
            </a:ext>
          </a:extLst>
        </xdr:cNvPr>
        <xdr:cNvSpPr>
          <a:spLocks/>
        </xdr:cNvSpPr>
      </xdr:nvSpPr>
      <xdr:spPr bwMode="auto">
        <a:xfrm>
          <a:off x="2305050" y="1771650"/>
          <a:ext cx="2867025" cy="838200"/>
        </a:xfrm>
        <a:prstGeom prst="borderCallout2">
          <a:avLst>
            <a:gd name="adj1" fmla="val 13634"/>
            <a:gd name="adj2" fmla="val -2657"/>
            <a:gd name="adj3" fmla="val 13634"/>
            <a:gd name="adj4" fmla="val -3324"/>
            <a:gd name="adj5" fmla="val -125000"/>
            <a:gd name="adj6" fmla="val -3986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los días como la diferencia entre la fecha de hoy y la de nacimiento. Tener en cuenta que el resultado de esta resta aparecerá con formato de fecha, para que aparezca cantidad de días, se deberá cambiar a formato general.</a:t>
          </a:r>
        </a:p>
      </xdr:txBody>
    </xdr:sp>
    <xdr:clientData/>
  </xdr:twoCellAnchor>
  <xdr:twoCellAnchor>
    <xdr:from>
      <xdr:col>3</xdr:col>
      <xdr:colOff>295275</xdr:colOff>
      <xdr:row>7</xdr:row>
      <xdr:rowOff>123825</xdr:rowOff>
    </xdr:from>
    <xdr:to>
      <xdr:col>6</xdr:col>
      <xdr:colOff>400050</xdr:colOff>
      <xdr:row>10</xdr:row>
      <xdr:rowOff>152400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240E9B9B-5A3E-39E8-6B49-196135ED76D3}"/>
            </a:ext>
          </a:extLst>
        </xdr:cNvPr>
        <xdr:cNvSpPr>
          <a:spLocks/>
        </xdr:cNvSpPr>
      </xdr:nvSpPr>
      <xdr:spPr bwMode="auto">
        <a:xfrm>
          <a:off x="3114675" y="1257300"/>
          <a:ext cx="2390775" cy="514350"/>
        </a:xfrm>
        <a:prstGeom prst="borderCallout2">
          <a:avLst>
            <a:gd name="adj1" fmla="val 22222"/>
            <a:gd name="adj2" fmla="val -3185"/>
            <a:gd name="adj3" fmla="val 22222"/>
            <a:gd name="adj4" fmla="val -3185"/>
            <a:gd name="adj5" fmla="val -98148"/>
            <a:gd name="adj6" fmla="val -3185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la cantidad de años que representan los días obtenidos en la celda contigua</a:t>
          </a:r>
        </a:p>
      </xdr:txBody>
    </xdr:sp>
    <xdr:clientData/>
  </xdr:twoCellAnchor>
  <xdr:twoCellAnchor>
    <xdr:from>
      <xdr:col>5</xdr:col>
      <xdr:colOff>161925</xdr:colOff>
      <xdr:row>4</xdr:row>
      <xdr:rowOff>85725</xdr:rowOff>
    </xdr:from>
    <xdr:to>
      <xdr:col>7</xdr:col>
      <xdr:colOff>228600</xdr:colOff>
      <xdr:row>7</xdr:row>
      <xdr:rowOff>95250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B58EC31A-2C66-BCEB-7287-0FF4D01EAF0C}"/>
            </a:ext>
          </a:extLst>
        </xdr:cNvPr>
        <xdr:cNvSpPr>
          <a:spLocks/>
        </xdr:cNvSpPr>
      </xdr:nvSpPr>
      <xdr:spPr bwMode="auto">
        <a:xfrm>
          <a:off x="4505325" y="733425"/>
          <a:ext cx="1590675" cy="495300"/>
        </a:xfrm>
        <a:prstGeom prst="borderCallout2">
          <a:avLst>
            <a:gd name="adj1" fmla="val 23079"/>
            <a:gd name="adj2" fmla="val -4792"/>
            <a:gd name="adj3" fmla="val 23079"/>
            <a:gd name="adj4" fmla="val -19162"/>
            <a:gd name="adj5" fmla="val -7694"/>
            <a:gd name="adj6" fmla="val -30537"/>
          </a:avLst>
        </a:prstGeom>
        <a:solidFill>
          <a:srgbClr val="FFFFFF"/>
        </a:solidFill>
        <a:ln w="9525">
          <a:solidFill>
            <a:srgbClr val="FF66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Encontrar una función que devuelva la parte entera de un número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964EE-F484-4B7C-8582-B35F704618A6}" name="Tabla1" displayName="Tabla1" ref="B2:C31" totalsRowShown="0" headerRowDxfId="6" dataDxfId="5" headerRowBorderDxfId="3" tableBorderDxfId="4" totalsRowBorderDxfId="2">
  <autoFilter ref="B2:C31" xr:uid="{A183CE7F-08DE-478E-9385-295DF5701E1B}"/>
  <tableColumns count="2">
    <tableColumn id="1" xr3:uid="{00000000-0010-0000-0100-000001000000}" name="CAMPAMENTO" dataDxfId="1"/>
    <tableColumn id="2" xr3:uid="{00000000-0010-0000-0100-000002000000}" name="Columna1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E713-FDE3-44AF-82CE-FCC58E8E62B6}">
  <dimension ref="A2:J24"/>
  <sheetViews>
    <sheetView workbookViewId="0">
      <selection activeCell="F20" sqref="F20"/>
    </sheetView>
  </sheetViews>
  <sheetFormatPr defaultRowHeight="12.75"/>
  <cols>
    <col min="1" max="1" width="3.42578125" customWidth="1"/>
    <col min="2" max="2" width="12.5703125" customWidth="1"/>
    <col min="3" max="3" width="25.7109375" customWidth="1"/>
    <col min="4" max="4" width="30" customWidth="1"/>
    <col min="5" max="5" width="14.5703125" customWidth="1"/>
    <col min="6" max="6" width="12.5703125" bestFit="1" customWidth="1"/>
    <col min="7" max="9" width="11.42578125" customWidth="1"/>
    <col min="10" max="10" width="18.5703125" bestFit="1" customWidth="1"/>
    <col min="11" max="256" width="11.42578125" customWidth="1"/>
  </cols>
  <sheetData>
    <row r="2" spans="1:10" ht="15">
      <c r="A2" s="1"/>
      <c r="B2" s="1"/>
      <c r="C2" s="1"/>
      <c r="D2" s="66"/>
      <c r="E2" s="66"/>
      <c r="F2" s="67"/>
    </row>
    <row r="3" spans="1:10" ht="18">
      <c r="A3" s="1"/>
      <c r="B3" s="76"/>
      <c r="C3" s="68"/>
      <c r="D3" s="68"/>
      <c r="E3" s="69"/>
      <c r="F3" s="69"/>
    </row>
    <row r="4" spans="1:10" ht="18">
      <c r="A4" s="1"/>
      <c r="C4" s="70"/>
      <c r="D4" s="70"/>
      <c r="E4" s="70"/>
      <c r="F4" s="70"/>
    </row>
    <row r="5" spans="1:10" ht="18">
      <c r="A5" s="1"/>
      <c r="C5" s="70"/>
      <c r="D5" s="70"/>
      <c r="E5" s="70"/>
      <c r="F5" s="70"/>
    </row>
    <row r="6" spans="1:10" ht="18">
      <c r="A6" s="1"/>
      <c r="C6" s="70"/>
      <c r="D6" s="70"/>
      <c r="E6" s="70"/>
      <c r="F6" s="70"/>
    </row>
    <row r="7" spans="1:10" ht="18">
      <c r="A7" s="1"/>
      <c r="C7" s="70"/>
      <c r="D7" s="70"/>
      <c r="E7" s="70"/>
      <c r="F7" s="70"/>
    </row>
    <row r="8" spans="1:10" ht="27.75" customHeight="1">
      <c r="A8" s="1"/>
      <c r="C8" s="70"/>
      <c r="D8" s="70"/>
      <c r="E8" s="70"/>
      <c r="F8" s="70"/>
    </row>
    <row r="9" spans="1:10" ht="20.25">
      <c r="J9" s="126"/>
    </row>
    <row r="16" spans="1:10">
      <c r="B16" s="61" t="s">
        <v>0</v>
      </c>
    </row>
    <row r="17" spans="2:6">
      <c r="D17" s="84"/>
      <c r="E17" t="s">
        <v>1</v>
      </c>
    </row>
    <row r="18" spans="2:6" ht="12.75" customHeight="1">
      <c r="B18" s="133" t="s">
        <v>2</v>
      </c>
      <c r="C18" s="134"/>
      <c r="D18" s="134"/>
      <c r="E18" s="135"/>
      <c r="F18" s="128">
        <v>0.2</v>
      </c>
    </row>
    <row r="19" spans="2:6">
      <c r="B19" s="132"/>
      <c r="C19" s="16" t="s">
        <v>3</v>
      </c>
      <c r="D19" s="16" t="s">
        <v>4</v>
      </c>
      <c r="E19" s="16" t="s">
        <v>5</v>
      </c>
      <c r="F19" s="16" t="s">
        <v>6</v>
      </c>
    </row>
    <row r="20" spans="2:6" ht="24.75" customHeight="1">
      <c r="B20" s="144" t="s">
        <v>7</v>
      </c>
      <c r="C20" s="16" t="s">
        <v>8</v>
      </c>
      <c r="D20" s="16" t="s">
        <v>9</v>
      </c>
      <c r="E20" s="136">
        <v>55990000</v>
      </c>
      <c r="F20" s="137">
        <f>E20*$F$18</f>
        <v>11198000</v>
      </c>
    </row>
    <row r="21" spans="2:6" ht="20.25" customHeight="1">
      <c r="B21" s="145"/>
      <c r="C21" s="16" t="s">
        <v>10</v>
      </c>
      <c r="D21" s="16" t="s">
        <v>11</v>
      </c>
      <c r="E21" s="136">
        <v>79990000</v>
      </c>
      <c r="F21" s="137">
        <f>E21*$F$18</f>
        <v>15998000</v>
      </c>
    </row>
    <row r="22" spans="2:6" ht="20.25" customHeight="1">
      <c r="B22" s="145"/>
      <c r="C22" s="16" t="s">
        <v>12</v>
      </c>
      <c r="D22" s="16" t="s">
        <v>13</v>
      </c>
      <c r="E22" s="136">
        <v>86690000</v>
      </c>
      <c r="F22" s="137">
        <f>E22*$F$18</f>
        <v>17338000</v>
      </c>
    </row>
    <row r="23" spans="2:6" ht="22.5" customHeight="1">
      <c r="B23" s="145"/>
      <c r="C23" s="16" t="s">
        <v>14</v>
      </c>
      <c r="D23" s="16" t="s">
        <v>15</v>
      </c>
      <c r="E23" s="136">
        <v>43000000</v>
      </c>
      <c r="F23" s="137">
        <f>E23*$F$18</f>
        <v>8600000</v>
      </c>
    </row>
    <row r="24" spans="2:6" ht="30" customHeight="1">
      <c r="B24" s="146"/>
      <c r="C24" s="16" t="s">
        <v>16</v>
      </c>
      <c r="D24" s="16" t="s">
        <v>17</v>
      </c>
      <c r="E24" s="136">
        <v>74650000</v>
      </c>
      <c r="F24" s="137">
        <f>E24*$F$18</f>
        <v>14930000</v>
      </c>
    </row>
  </sheetData>
  <mergeCells count="1">
    <mergeCell ref="B20:B24"/>
  </mergeCells>
  <phoneticPr fontId="0" type="noConversion"/>
  <printOptions horizontalCentered="1" verticalCentered="1"/>
  <pageMargins left="0.75" right="0.75" top="1" bottom="1" header="0" footer="0"/>
  <pageSetup paperSize="5" orientation="landscape" horizontalDpi="300" verticalDpi="144" r:id="rId1"/>
  <headerFooter alignWithMargins="0">
    <oddHeader>&amp;A</oddHeader>
    <oddFooter>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5F4A-1B75-4306-888E-7149D43751A4}">
  <dimension ref="A1:K24"/>
  <sheetViews>
    <sheetView workbookViewId="0">
      <selection activeCell="C36" sqref="C36"/>
    </sheetView>
  </sheetViews>
  <sheetFormatPr defaultRowHeight="12.75"/>
  <cols>
    <col min="1" max="4" width="11.42578125" customWidth="1"/>
    <col min="5" max="5" width="12.28515625" bestFit="1" customWidth="1"/>
    <col min="6" max="8" width="11.42578125" customWidth="1"/>
    <col min="9" max="9" width="3.7109375" customWidth="1"/>
    <col min="10" max="256" width="11.42578125" customWidth="1"/>
  </cols>
  <sheetData>
    <row r="1" spans="1:11">
      <c r="B1" s="147" t="s">
        <v>18</v>
      </c>
      <c r="C1" s="148"/>
    </row>
    <row r="2" spans="1:11">
      <c r="B2" s="18" t="s">
        <v>19</v>
      </c>
      <c r="C2" s="19">
        <v>3</v>
      </c>
    </row>
    <row r="3" spans="1:11">
      <c r="B3" s="18" t="s">
        <v>20</v>
      </c>
      <c r="C3" s="19">
        <v>-1</v>
      </c>
    </row>
    <row r="4" spans="1:11" ht="13.5" thickBot="1">
      <c r="B4" s="20" t="s">
        <v>21</v>
      </c>
      <c r="C4" s="21">
        <v>1</v>
      </c>
    </row>
    <row r="6" spans="1:11" ht="13.5" thickBot="1"/>
    <row r="7" spans="1:11" ht="13.5" thickBot="1">
      <c r="C7" s="25" t="s">
        <v>22</v>
      </c>
      <c r="D7" s="26">
        <v>15</v>
      </c>
    </row>
    <row r="9" spans="1:11" ht="13.5" thickBot="1">
      <c r="A9" s="60"/>
    </row>
    <row r="10" spans="1:11" ht="16.5" thickBot="1">
      <c r="A10" s="149" t="s">
        <v>23</v>
      </c>
      <c r="B10" s="150"/>
      <c r="C10" s="150"/>
      <c r="D10" s="150"/>
      <c r="E10" s="151"/>
      <c r="G10" s="127">
        <v>46240</v>
      </c>
    </row>
    <row r="11" spans="1:11" ht="13.5" thickBot="1">
      <c r="A11" s="11" t="s">
        <v>24</v>
      </c>
      <c r="B11" s="12" t="s">
        <v>25</v>
      </c>
      <c r="C11" s="12" t="s">
        <v>26</v>
      </c>
      <c r="D11" s="12" t="s">
        <v>27</v>
      </c>
      <c r="E11" s="13" t="s">
        <v>28</v>
      </c>
    </row>
    <row r="12" spans="1:11">
      <c r="A12" s="14" t="s">
        <v>29</v>
      </c>
      <c r="B12" s="15">
        <v>7</v>
      </c>
      <c r="C12" s="15">
        <f>$D$7-(B12+D12)</f>
        <v>4</v>
      </c>
      <c r="D12" s="15">
        <v>4</v>
      </c>
      <c r="E12" s="15">
        <f>B12*$C$2+C12-D12</f>
        <v>21</v>
      </c>
    </row>
    <row r="13" spans="1:11">
      <c r="A13" s="16" t="s">
        <v>30</v>
      </c>
      <c r="B13" s="17">
        <v>2</v>
      </c>
      <c r="C13" s="15">
        <f t="shared" ref="C13:C19" si="0">$D$7-(B13+D13)</f>
        <v>5</v>
      </c>
      <c r="D13" s="17">
        <v>8</v>
      </c>
      <c r="E13" s="15">
        <f t="shared" ref="E13:E19" si="1">B13*$C$2+C13-D13</f>
        <v>3</v>
      </c>
    </row>
    <row r="14" spans="1:11">
      <c r="A14" s="16" t="s">
        <v>31</v>
      </c>
      <c r="B14" s="17">
        <v>6</v>
      </c>
      <c r="C14" s="15">
        <f t="shared" si="0"/>
        <v>2</v>
      </c>
      <c r="D14" s="17">
        <v>7</v>
      </c>
      <c r="E14" s="15">
        <f t="shared" si="1"/>
        <v>13</v>
      </c>
      <c r="K14" t="s">
        <v>32</v>
      </c>
    </row>
    <row r="15" spans="1:11">
      <c r="A15" s="16" t="s">
        <v>33</v>
      </c>
      <c r="B15" s="17">
        <v>4</v>
      </c>
      <c r="C15" s="15">
        <f t="shared" si="0"/>
        <v>5</v>
      </c>
      <c r="D15" s="17">
        <v>6</v>
      </c>
      <c r="E15" s="15">
        <f t="shared" si="1"/>
        <v>11</v>
      </c>
    </row>
    <row r="16" spans="1:11">
      <c r="A16" s="16" t="s">
        <v>34</v>
      </c>
      <c r="B16" s="17">
        <v>10</v>
      </c>
      <c r="C16" s="15">
        <f t="shared" si="0"/>
        <v>5</v>
      </c>
      <c r="D16" s="17">
        <v>0</v>
      </c>
      <c r="E16" s="15">
        <f t="shared" si="1"/>
        <v>35</v>
      </c>
    </row>
    <row r="17" spans="1:11">
      <c r="A17" s="16" t="s">
        <v>35</v>
      </c>
      <c r="B17" s="17">
        <v>1</v>
      </c>
      <c r="C17" s="15">
        <f t="shared" si="0"/>
        <v>9</v>
      </c>
      <c r="D17" s="17">
        <v>5</v>
      </c>
      <c r="E17" s="15">
        <f t="shared" si="1"/>
        <v>7</v>
      </c>
    </row>
    <row r="18" spans="1:11">
      <c r="A18" s="16" t="s">
        <v>36</v>
      </c>
      <c r="B18" s="17">
        <v>3</v>
      </c>
      <c r="C18" s="15">
        <f t="shared" si="0"/>
        <v>3</v>
      </c>
      <c r="D18" s="17">
        <v>9</v>
      </c>
      <c r="E18" s="15">
        <f t="shared" si="1"/>
        <v>3</v>
      </c>
      <c r="J18">
        <v>6</v>
      </c>
      <c r="K18">
        <v>5</v>
      </c>
    </row>
    <row r="19" spans="1:11" ht="13.5" thickBot="1">
      <c r="A19" s="22" t="s">
        <v>37</v>
      </c>
      <c r="B19" s="23">
        <v>8</v>
      </c>
      <c r="C19" s="15">
        <f t="shared" si="0"/>
        <v>4</v>
      </c>
      <c r="D19" s="23">
        <v>3</v>
      </c>
      <c r="E19" s="15">
        <f t="shared" si="1"/>
        <v>25</v>
      </c>
    </row>
    <row r="20" spans="1:11" ht="13.5" thickBot="1">
      <c r="A20" s="11" t="s">
        <v>38</v>
      </c>
      <c r="B20" s="24">
        <f>SUM(B12:B19)</f>
        <v>41</v>
      </c>
      <c r="C20" s="24">
        <f>SUM(C12:C19)</f>
        <v>37</v>
      </c>
      <c r="D20" s="24">
        <f>SUM(D12:D19)</f>
        <v>42</v>
      </c>
      <c r="E20" s="15">
        <f>SUM(E12:E19)</f>
        <v>118</v>
      </c>
    </row>
    <row r="24" spans="1:11" ht="15">
      <c r="A24" s="27"/>
    </row>
  </sheetData>
  <mergeCells count="2">
    <mergeCell ref="B1:C1"/>
    <mergeCell ref="A10:E1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5" orientation="landscape" r:id="rId1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F01F-510D-43DF-A47B-ADC88BA8EB8D}">
  <dimension ref="A1:M20"/>
  <sheetViews>
    <sheetView workbookViewId="0">
      <selection activeCell="J24" sqref="J24"/>
    </sheetView>
  </sheetViews>
  <sheetFormatPr defaultColWidth="11.42578125" defaultRowHeight="12"/>
  <cols>
    <col min="1" max="1" width="11.42578125" style="48"/>
    <col min="2" max="2" width="9" style="48" customWidth="1"/>
    <col min="3" max="3" width="14" style="48" customWidth="1"/>
    <col min="4" max="4" width="11.140625" style="48" customWidth="1"/>
    <col min="5" max="5" width="9.140625" style="48" customWidth="1"/>
    <col min="6" max="6" width="9.42578125" style="48" customWidth="1"/>
    <col min="7" max="16384" width="11.42578125" style="48"/>
  </cols>
  <sheetData>
    <row r="1" spans="1:13" ht="12.75" thickBot="1">
      <c r="A1" s="152" t="s">
        <v>39</v>
      </c>
      <c r="B1" s="153"/>
      <c r="C1" s="153"/>
      <c r="D1" s="153"/>
      <c r="E1" s="153"/>
      <c r="F1" s="153"/>
      <c r="G1" s="153"/>
      <c r="H1" s="154"/>
    </row>
    <row r="2" spans="1:13" ht="12.75" thickBot="1"/>
    <row r="3" spans="1:13">
      <c r="A3" s="49"/>
      <c r="B3" s="50"/>
      <c r="C3" s="50" t="s">
        <v>40</v>
      </c>
      <c r="D3" s="50" t="s">
        <v>41</v>
      </c>
      <c r="E3" s="50" t="s">
        <v>42</v>
      </c>
      <c r="F3" s="50" t="s">
        <v>43</v>
      </c>
      <c r="G3" s="50" t="s">
        <v>44</v>
      </c>
      <c r="H3" s="51" t="s">
        <v>45</v>
      </c>
    </row>
    <row r="4" spans="1:13" ht="12.75" thickBot="1">
      <c r="A4" s="52" t="s">
        <v>46</v>
      </c>
      <c r="B4" s="53" t="s">
        <v>47</v>
      </c>
      <c r="C4" s="54">
        <v>0.11</v>
      </c>
      <c r="D4" s="54">
        <v>0.03</v>
      </c>
      <c r="E4" s="54">
        <v>0.03</v>
      </c>
      <c r="F4" s="54">
        <v>0.02</v>
      </c>
      <c r="G4" s="53" t="s">
        <v>48</v>
      </c>
      <c r="H4" s="55" t="s">
        <v>49</v>
      </c>
      <c r="M4" s="130"/>
    </row>
    <row r="5" spans="1:13" ht="12.75">
      <c r="A5" s="56" t="s">
        <v>50</v>
      </c>
      <c r="B5" s="57">
        <v>525</v>
      </c>
      <c r="C5" s="129">
        <f>$B5*C$4</f>
        <v>57.75</v>
      </c>
      <c r="D5" s="129">
        <f t="shared" ref="D5:F15" si="0">$B5*D$4</f>
        <v>15.75</v>
      </c>
      <c r="E5" s="129">
        <f t="shared" si="0"/>
        <v>15.75</v>
      </c>
      <c r="F5" s="129">
        <f>$B5*F$4</f>
        <v>10.5</v>
      </c>
      <c r="G5" s="131">
        <f>SUM(C5:F5)</f>
        <v>99.75</v>
      </c>
      <c r="H5" s="131">
        <f>B5-C5-D5-E5-F5</f>
        <v>425.25</v>
      </c>
    </row>
    <row r="6" spans="1:13" ht="12.75">
      <c r="A6" s="58" t="s">
        <v>51</v>
      </c>
      <c r="B6" s="59">
        <v>446</v>
      </c>
      <c r="C6" s="129">
        <f t="shared" ref="C6:C15" si="1">$B6*C$4</f>
        <v>49.06</v>
      </c>
      <c r="D6" s="129">
        <f t="shared" si="0"/>
        <v>13.379999999999999</v>
      </c>
      <c r="E6" s="129">
        <f t="shared" si="0"/>
        <v>13.379999999999999</v>
      </c>
      <c r="F6" s="129">
        <f t="shared" si="0"/>
        <v>8.92</v>
      </c>
      <c r="G6" s="131">
        <f t="shared" ref="G6:G15" si="2">SUM(C6:F6)</f>
        <v>84.74</v>
      </c>
      <c r="H6" s="131">
        <f t="shared" ref="H6:H15" si="3">B6-C6-D6-E6-F6</f>
        <v>361.26</v>
      </c>
    </row>
    <row r="7" spans="1:13" ht="12.75">
      <c r="A7" s="58" t="s">
        <v>52</v>
      </c>
      <c r="B7" s="59">
        <v>399</v>
      </c>
      <c r="C7" s="129">
        <f t="shared" si="1"/>
        <v>43.89</v>
      </c>
      <c r="D7" s="129">
        <f t="shared" si="0"/>
        <v>11.969999999999999</v>
      </c>
      <c r="E7" s="129">
        <f t="shared" si="0"/>
        <v>11.969999999999999</v>
      </c>
      <c r="F7" s="129">
        <f t="shared" si="0"/>
        <v>7.98</v>
      </c>
      <c r="G7" s="131">
        <f t="shared" si="2"/>
        <v>75.81</v>
      </c>
      <c r="H7" s="131">
        <f t="shared" si="3"/>
        <v>323.18999999999994</v>
      </c>
    </row>
    <row r="8" spans="1:13" ht="12.75">
      <c r="A8" s="58" t="s">
        <v>53</v>
      </c>
      <c r="B8" s="59">
        <v>461</v>
      </c>
      <c r="C8" s="129">
        <f t="shared" si="1"/>
        <v>50.71</v>
      </c>
      <c r="D8" s="129">
        <f t="shared" si="0"/>
        <v>13.83</v>
      </c>
      <c r="E8" s="129">
        <f t="shared" si="0"/>
        <v>13.83</v>
      </c>
      <c r="F8" s="129">
        <f t="shared" si="0"/>
        <v>9.2200000000000006</v>
      </c>
      <c r="G8" s="131">
        <f t="shared" si="2"/>
        <v>87.59</v>
      </c>
      <c r="H8" s="131">
        <f t="shared" si="3"/>
        <v>373.41</v>
      </c>
    </row>
    <row r="9" spans="1:13" ht="12.75">
      <c r="A9" s="58" t="s">
        <v>54</v>
      </c>
      <c r="B9" s="59">
        <v>209</v>
      </c>
      <c r="C9" s="129">
        <f t="shared" si="1"/>
        <v>22.99</v>
      </c>
      <c r="D9" s="129">
        <f t="shared" si="0"/>
        <v>6.27</v>
      </c>
      <c r="E9" s="129">
        <f t="shared" si="0"/>
        <v>6.27</v>
      </c>
      <c r="F9" s="129">
        <f t="shared" si="0"/>
        <v>4.18</v>
      </c>
      <c r="G9" s="131">
        <f t="shared" si="2"/>
        <v>39.71</v>
      </c>
      <c r="H9" s="131">
        <f t="shared" si="3"/>
        <v>169.28999999999996</v>
      </c>
    </row>
    <row r="10" spans="1:13" ht="12.75">
      <c r="A10" s="58" t="s">
        <v>55</v>
      </c>
      <c r="B10" s="59">
        <v>304</v>
      </c>
      <c r="C10" s="129">
        <f t="shared" si="1"/>
        <v>33.44</v>
      </c>
      <c r="D10" s="129">
        <f t="shared" si="0"/>
        <v>9.1199999999999992</v>
      </c>
      <c r="E10" s="129">
        <f t="shared" si="0"/>
        <v>9.1199999999999992</v>
      </c>
      <c r="F10" s="129">
        <f t="shared" si="0"/>
        <v>6.08</v>
      </c>
      <c r="G10" s="131">
        <f t="shared" si="2"/>
        <v>57.759999999999991</v>
      </c>
      <c r="H10" s="131">
        <f t="shared" si="3"/>
        <v>246.23999999999998</v>
      </c>
    </row>
    <row r="11" spans="1:13" ht="12.75">
      <c r="A11" s="58" t="s">
        <v>56</v>
      </c>
      <c r="B11" s="59">
        <v>376</v>
      </c>
      <c r="C11" s="129">
        <f t="shared" si="1"/>
        <v>41.36</v>
      </c>
      <c r="D11" s="129">
        <f t="shared" si="0"/>
        <v>11.28</v>
      </c>
      <c r="E11" s="129">
        <f t="shared" si="0"/>
        <v>11.28</v>
      </c>
      <c r="F11" s="129">
        <f t="shared" si="0"/>
        <v>7.5200000000000005</v>
      </c>
      <c r="G11" s="131">
        <f t="shared" si="2"/>
        <v>71.44</v>
      </c>
      <c r="H11" s="131">
        <f t="shared" si="3"/>
        <v>304.56000000000006</v>
      </c>
    </row>
    <row r="12" spans="1:13" ht="12.75">
      <c r="A12" s="58" t="s">
        <v>57</v>
      </c>
      <c r="B12" s="59">
        <v>307</v>
      </c>
      <c r="C12" s="129">
        <f t="shared" si="1"/>
        <v>33.770000000000003</v>
      </c>
      <c r="D12" s="129">
        <f t="shared" si="0"/>
        <v>9.2099999999999991</v>
      </c>
      <c r="E12" s="129">
        <f t="shared" si="0"/>
        <v>9.2099999999999991</v>
      </c>
      <c r="F12" s="129">
        <f t="shared" si="0"/>
        <v>6.1400000000000006</v>
      </c>
      <c r="G12" s="131">
        <f t="shared" si="2"/>
        <v>58.330000000000005</v>
      </c>
      <c r="H12" s="131">
        <f t="shared" si="3"/>
        <v>248.67000000000002</v>
      </c>
    </row>
    <row r="13" spans="1:13" ht="12.75">
      <c r="A13" s="58" t="s">
        <v>58</v>
      </c>
      <c r="B13" s="59">
        <v>385</v>
      </c>
      <c r="C13" s="129">
        <f t="shared" si="1"/>
        <v>42.35</v>
      </c>
      <c r="D13" s="129">
        <f t="shared" si="0"/>
        <v>11.549999999999999</v>
      </c>
      <c r="E13" s="129">
        <f t="shared" si="0"/>
        <v>11.549999999999999</v>
      </c>
      <c r="F13" s="129">
        <f t="shared" si="0"/>
        <v>7.7</v>
      </c>
      <c r="G13" s="131">
        <f t="shared" si="2"/>
        <v>73.150000000000006</v>
      </c>
      <c r="H13" s="131">
        <f t="shared" si="3"/>
        <v>311.84999999999997</v>
      </c>
    </row>
    <row r="14" spans="1:13" ht="12.75">
      <c r="A14" s="58" t="s">
        <v>59</v>
      </c>
      <c r="B14" s="59">
        <v>438</v>
      </c>
      <c r="C14" s="129">
        <f t="shared" si="1"/>
        <v>48.18</v>
      </c>
      <c r="D14" s="129">
        <f t="shared" si="0"/>
        <v>13.139999999999999</v>
      </c>
      <c r="E14" s="129">
        <f t="shared" si="0"/>
        <v>13.139999999999999</v>
      </c>
      <c r="F14" s="129">
        <f t="shared" si="0"/>
        <v>8.76</v>
      </c>
      <c r="G14" s="131">
        <f t="shared" si="2"/>
        <v>83.22</v>
      </c>
      <c r="H14" s="131">
        <f t="shared" si="3"/>
        <v>354.78000000000003</v>
      </c>
    </row>
    <row r="15" spans="1:13" ht="12.75">
      <c r="A15" s="58" t="s">
        <v>60</v>
      </c>
      <c r="B15" s="59">
        <v>436</v>
      </c>
      <c r="C15" s="129">
        <f t="shared" si="1"/>
        <v>47.96</v>
      </c>
      <c r="D15" s="129">
        <f t="shared" si="0"/>
        <v>13.08</v>
      </c>
      <c r="E15" s="129">
        <f t="shared" si="0"/>
        <v>13.08</v>
      </c>
      <c r="F15" s="129">
        <f t="shared" si="0"/>
        <v>8.7200000000000006</v>
      </c>
      <c r="G15" s="131">
        <f t="shared" si="2"/>
        <v>82.84</v>
      </c>
      <c r="H15" s="131">
        <f t="shared" si="3"/>
        <v>353.16</v>
      </c>
    </row>
    <row r="18" spans="1:1">
      <c r="A18" s="48" t="s">
        <v>61</v>
      </c>
    </row>
    <row r="19" spans="1:1">
      <c r="A19" s="48" t="s">
        <v>62</v>
      </c>
    </row>
    <row r="20" spans="1:1">
      <c r="A20" s="48" t="s">
        <v>63</v>
      </c>
    </row>
  </sheetData>
  <mergeCells count="1">
    <mergeCell ref="A1:H1"/>
  </mergeCells>
  <phoneticPr fontId="0" type="noConversion"/>
  <printOptions horizontalCentered="1"/>
  <pageMargins left="0.75" right="0.75" top="0.39370078740157483" bottom="1" header="0" footer="0"/>
  <pageSetup paperSize="5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07D-4FF8-4E1A-BF71-0CE9F0FB5295}">
  <dimension ref="A1:H34"/>
  <sheetViews>
    <sheetView zoomScaleNormal="100" workbookViewId="0">
      <selection activeCell="C23" sqref="C23"/>
    </sheetView>
  </sheetViews>
  <sheetFormatPr defaultRowHeight="12.75"/>
  <cols>
    <col min="1" max="1" width="11.42578125" customWidth="1"/>
    <col min="2" max="2" width="17.5703125" customWidth="1"/>
    <col min="3" max="256" width="11.42578125" customWidth="1"/>
  </cols>
  <sheetData>
    <row r="1" spans="1:8">
      <c r="A1" s="73"/>
      <c r="B1" s="74"/>
      <c r="C1" s="75"/>
      <c r="D1" s="75"/>
      <c r="E1" s="75"/>
      <c r="F1" s="75"/>
      <c r="G1" s="75"/>
      <c r="H1" s="75"/>
    </row>
    <row r="2" spans="1:8">
      <c r="A2" s="73"/>
      <c r="B2" s="74"/>
      <c r="C2" s="71"/>
      <c r="D2" s="71"/>
      <c r="E2" s="71"/>
      <c r="F2" s="71"/>
      <c r="G2" s="71"/>
      <c r="H2" s="71"/>
    </row>
    <row r="3" spans="1:8">
      <c r="C3" s="72"/>
      <c r="D3" s="72"/>
      <c r="E3" s="72"/>
      <c r="F3" s="72"/>
      <c r="G3" s="72"/>
      <c r="H3" s="72"/>
    </row>
    <row r="4" spans="1:8">
      <c r="C4" s="72"/>
      <c r="D4" s="72"/>
      <c r="E4" s="72"/>
      <c r="F4" s="72"/>
      <c r="G4" s="72"/>
      <c r="H4" s="72"/>
    </row>
    <row r="5" spans="1:8">
      <c r="C5" s="72"/>
      <c r="D5" s="72"/>
      <c r="E5" s="72"/>
      <c r="F5" s="72"/>
      <c r="G5" s="72"/>
      <c r="H5" s="72"/>
    </row>
    <row r="6" spans="1:8">
      <c r="C6" s="72"/>
      <c r="D6" s="72"/>
      <c r="E6" s="72"/>
      <c r="F6" s="72"/>
      <c r="G6" s="72"/>
      <c r="H6" s="72"/>
    </row>
    <row r="7" spans="1:8">
      <c r="C7" s="72"/>
      <c r="D7" s="72"/>
      <c r="E7" s="72"/>
      <c r="F7" s="72"/>
      <c r="G7" s="72"/>
      <c r="H7" s="72"/>
    </row>
    <row r="8" spans="1:8">
      <c r="C8" s="72"/>
      <c r="D8" s="72"/>
      <c r="E8" s="72"/>
      <c r="F8" s="72"/>
      <c r="G8" s="72"/>
      <c r="H8" s="72"/>
    </row>
    <row r="9" spans="1:8">
      <c r="C9" s="72"/>
      <c r="D9" s="72"/>
      <c r="E9" s="72"/>
      <c r="F9" s="72"/>
      <c r="G9" s="72"/>
      <c r="H9" s="72"/>
    </row>
    <row r="10" spans="1:8">
      <c r="C10" s="72"/>
      <c r="D10" s="72"/>
      <c r="E10" s="72"/>
      <c r="F10" s="72"/>
      <c r="G10" s="72"/>
      <c r="H10" s="72"/>
    </row>
    <row r="11" spans="1:8">
      <c r="C11" s="72"/>
      <c r="D11" s="72"/>
      <c r="E11" s="72"/>
      <c r="F11" s="72"/>
      <c r="G11" s="72"/>
      <c r="H11" s="72"/>
    </row>
    <row r="12" spans="1:8">
      <c r="C12" s="72"/>
      <c r="D12" s="72"/>
      <c r="E12" s="72"/>
      <c r="F12" s="72"/>
      <c r="G12" s="72"/>
      <c r="H12" s="72"/>
    </row>
    <row r="13" spans="1:8">
      <c r="C13" s="72"/>
      <c r="D13" s="72"/>
      <c r="E13" s="72"/>
      <c r="F13" s="72"/>
      <c r="G13" s="72"/>
      <c r="H13" s="72"/>
    </row>
    <row r="14" spans="1:8">
      <c r="C14" s="72"/>
      <c r="D14" s="72"/>
      <c r="E14" s="72"/>
      <c r="F14" s="72"/>
      <c r="G14" s="72"/>
      <c r="H14" s="72"/>
    </row>
    <row r="16" spans="1:8">
      <c r="A16" t="s">
        <v>64</v>
      </c>
    </row>
    <row r="17" spans="1:8">
      <c r="A17" t="s">
        <v>65</v>
      </c>
    </row>
    <row r="19" spans="1:8">
      <c r="A19" s="61" t="s">
        <v>66</v>
      </c>
    </row>
    <row r="21" spans="1:8">
      <c r="A21" s="158" t="s">
        <v>67</v>
      </c>
      <c r="B21" s="158" t="s">
        <v>68</v>
      </c>
      <c r="C21" s="155" t="s">
        <v>69</v>
      </c>
      <c r="D21" s="156"/>
      <c r="E21" s="156"/>
      <c r="F21" s="156"/>
      <c r="G21" s="156"/>
      <c r="H21" s="157"/>
    </row>
    <row r="22" spans="1:8">
      <c r="A22" s="159"/>
      <c r="B22" s="159"/>
      <c r="C22" s="142">
        <v>2.2000000000000002</v>
      </c>
      <c r="D22" s="142">
        <v>2.5</v>
      </c>
      <c r="E22" s="142">
        <v>2.75</v>
      </c>
      <c r="F22" s="142">
        <v>2.85</v>
      </c>
      <c r="G22" s="142">
        <v>2.93</v>
      </c>
      <c r="H22" s="142">
        <v>3</v>
      </c>
    </row>
    <row r="23" spans="1:8">
      <c r="A23" s="16">
        <v>325</v>
      </c>
      <c r="B23" s="16">
        <v>193</v>
      </c>
      <c r="C23" s="138">
        <f t="shared" ref="C23:H23" si="0">$B23*C$22</f>
        <v>424.6</v>
      </c>
      <c r="D23" s="138">
        <f t="shared" si="0"/>
        <v>482.5</v>
      </c>
      <c r="E23" s="138">
        <f t="shared" si="0"/>
        <v>530.75</v>
      </c>
      <c r="F23" s="138">
        <f t="shared" si="0"/>
        <v>550.05000000000007</v>
      </c>
      <c r="G23" s="138">
        <f t="shared" si="0"/>
        <v>565.49</v>
      </c>
      <c r="H23" s="138">
        <f t="shared" si="0"/>
        <v>579</v>
      </c>
    </row>
    <row r="24" spans="1:8">
      <c r="A24" s="16">
        <v>458</v>
      </c>
      <c r="B24" s="16">
        <v>28</v>
      </c>
      <c r="C24" s="138">
        <f t="shared" ref="C24:H34" si="1">$B24*C$22</f>
        <v>61.600000000000009</v>
      </c>
      <c r="D24" s="138">
        <f t="shared" si="1"/>
        <v>70</v>
      </c>
      <c r="E24" s="138">
        <f t="shared" si="1"/>
        <v>77</v>
      </c>
      <c r="F24" s="138">
        <f t="shared" si="1"/>
        <v>79.8</v>
      </c>
      <c r="G24" s="138">
        <f t="shared" si="1"/>
        <v>82.04</v>
      </c>
      <c r="H24" s="138">
        <f t="shared" si="1"/>
        <v>84</v>
      </c>
    </row>
    <row r="25" spans="1:8">
      <c r="A25" s="16">
        <v>124</v>
      </c>
      <c r="B25" s="16">
        <v>417</v>
      </c>
      <c r="C25" s="138">
        <f t="shared" si="1"/>
        <v>917.40000000000009</v>
      </c>
      <c r="D25" s="138">
        <f t="shared" si="1"/>
        <v>1042.5</v>
      </c>
      <c r="E25" s="138">
        <f t="shared" si="1"/>
        <v>1146.75</v>
      </c>
      <c r="F25" s="138">
        <f t="shared" si="1"/>
        <v>1188.45</v>
      </c>
      <c r="G25" s="138">
        <f t="shared" si="1"/>
        <v>1221.8100000000002</v>
      </c>
      <c r="H25" s="138">
        <f t="shared" si="1"/>
        <v>1251</v>
      </c>
    </row>
    <row r="26" spans="1:8">
      <c r="A26" s="16">
        <v>22</v>
      </c>
      <c r="B26" s="16">
        <v>356</v>
      </c>
      <c r="C26" s="138">
        <f t="shared" si="1"/>
        <v>783.2</v>
      </c>
      <c r="D26" s="138">
        <f t="shared" si="1"/>
        <v>890</v>
      </c>
      <c r="E26" s="138">
        <f t="shared" si="1"/>
        <v>979</v>
      </c>
      <c r="F26" s="138">
        <f t="shared" si="1"/>
        <v>1014.6</v>
      </c>
      <c r="G26" s="138">
        <f t="shared" si="1"/>
        <v>1043.0800000000002</v>
      </c>
      <c r="H26" s="138">
        <f t="shared" si="1"/>
        <v>1068</v>
      </c>
    </row>
    <row r="27" spans="1:8">
      <c r="A27" s="16">
        <v>693</v>
      </c>
      <c r="B27" s="16">
        <v>85</v>
      </c>
      <c r="C27" s="138">
        <f t="shared" si="1"/>
        <v>187.00000000000003</v>
      </c>
      <c r="D27" s="138">
        <f t="shared" si="1"/>
        <v>212.5</v>
      </c>
      <c r="E27" s="138">
        <f t="shared" si="1"/>
        <v>233.75</v>
      </c>
      <c r="F27" s="138">
        <f t="shared" si="1"/>
        <v>242.25</v>
      </c>
      <c r="G27" s="138">
        <f t="shared" si="1"/>
        <v>249.05</v>
      </c>
      <c r="H27" s="138">
        <f t="shared" si="1"/>
        <v>255</v>
      </c>
    </row>
    <row r="28" spans="1:8">
      <c r="A28" s="16">
        <v>854</v>
      </c>
      <c r="B28" s="16">
        <v>102</v>
      </c>
      <c r="C28" s="138">
        <f t="shared" si="1"/>
        <v>224.4</v>
      </c>
      <c r="D28" s="138">
        <f t="shared" si="1"/>
        <v>255</v>
      </c>
      <c r="E28" s="138">
        <f t="shared" si="1"/>
        <v>280.5</v>
      </c>
      <c r="F28" s="138">
        <f t="shared" si="1"/>
        <v>290.7</v>
      </c>
      <c r="G28" s="138">
        <f t="shared" si="1"/>
        <v>298.86</v>
      </c>
      <c r="H28" s="138">
        <f t="shared" si="1"/>
        <v>306</v>
      </c>
    </row>
    <row r="29" spans="1:8">
      <c r="A29" s="16">
        <v>921</v>
      </c>
      <c r="B29" s="16">
        <v>78</v>
      </c>
      <c r="C29" s="138">
        <f t="shared" si="1"/>
        <v>171.60000000000002</v>
      </c>
      <c r="D29" s="138">
        <f t="shared" si="1"/>
        <v>195</v>
      </c>
      <c r="E29" s="138">
        <f t="shared" si="1"/>
        <v>214.5</v>
      </c>
      <c r="F29" s="138">
        <f t="shared" si="1"/>
        <v>222.3</v>
      </c>
      <c r="G29" s="138">
        <f t="shared" si="1"/>
        <v>228.54000000000002</v>
      </c>
      <c r="H29" s="138">
        <f t="shared" si="1"/>
        <v>234</v>
      </c>
    </row>
    <row r="30" spans="1:8">
      <c r="A30" s="16">
        <v>1470</v>
      </c>
      <c r="B30" s="16">
        <v>287</v>
      </c>
      <c r="C30" s="138">
        <f t="shared" si="1"/>
        <v>631.40000000000009</v>
      </c>
      <c r="D30" s="138">
        <f t="shared" si="1"/>
        <v>717.5</v>
      </c>
      <c r="E30" s="138">
        <f t="shared" si="1"/>
        <v>789.25</v>
      </c>
      <c r="F30" s="138">
        <f t="shared" si="1"/>
        <v>817.95</v>
      </c>
      <c r="G30" s="138">
        <f t="shared" si="1"/>
        <v>840.91000000000008</v>
      </c>
      <c r="H30" s="138">
        <f t="shared" si="1"/>
        <v>861</v>
      </c>
    </row>
    <row r="31" spans="1:8">
      <c r="A31" s="16">
        <v>328</v>
      </c>
      <c r="B31" s="16">
        <v>501</v>
      </c>
      <c r="C31" s="138">
        <f t="shared" si="1"/>
        <v>1102.2</v>
      </c>
      <c r="D31" s="138">
        <f t="shared" si="1"/>
        <v>1252.5</v>
      </c>
      <c r="E31" s="138">
        <f t="shared" si="1"/>
        <v>1377.75</v>
      </c>
      <c r="F31" s="138">
        <f t="shared" si="1"/>
        <v>1427.8500000000001</v>
      </c>
      <c r="G31" s="138">
        <f t="shared" si="1"/>
        <v>1467.93</v>
      </c>
      <c r="H31" s="138">
        <f t="shared" si="1"/>
        <v>1503</v>
      </c>
    </row>
    <row r="32" spans="1:8">
      <c r="A32" s="16">
        <v>96</v>
      </c>
      <c r="B32" s="16">
        <v>83</v>
      </c>
      <c r="C32" s="138">
        <f t="shared" si="1"/>
        <v>182.60000000000002</v>
      </c>
      <c r="D32" s="138">
        <f t="shared" si="1"/>
        <v>207.5</v>
      </c>
      <c r="E32" s="138">
        <f t="shared" si="1"/>
        <v>228.25</v>
      </c>
      <c r="F32" s="138">
        <f t="shared" si="1"/>
        <v>236.55</v>
      </c>
      <c r="G32" s="138">
        <f t="shared" si="1"/>
        <v>243.19000000000003</v>
      </c>
      <c r="H32" s="138">
        <f t="shared" si="1"/>
        <v>249</v>
      </c>
    </row>
    <row r="33" spans="1:8">
      <c r="A33" s="16">
        <v>2</v>
      </c>
      <c r="B33" s="16">
        <v>190</v>
      </c>
      <c r="C33" s="138">
        <f t="shared" si="1"/>
        <v>418.00000000000006</v>
      </c>
      <c r="D33" s="138">
        <f t="shared" si="1"/>
        <v>475</v>
      </c>
      <c r="E33" s="138">
        <f t="shared" si="1"/>
        <v>522.5</v>
      </c>
      <c r="F33" s="138">
        <f t="shared" si="1"/>
        <v>541.5</v>
      </c>
      <c r="G33" s="138">
        <f t="shared" si="1"/>
        <v>556.70000000000005</v>
      </c>
      <c r="H33" s="138">
        <f t="shared" si="1"/>
        <v>570</v>
      </c>
    </row>
    <row r="34" spans="1:8">
      <c r="A34" s="139">
        <v>248</v>
      </c>
      <c r="B34" s="139">
        <v>206</v>
      </c>
      <c r="C34" s="138">
        <f t="shared" si="1"/>
        <v>453.20000000000005</v>
      </c>
      <c r="D34" s="138">
        <f t="shared" si="1"/>
        <v>515</v>
      </c>
      <c r="E34" s="138">
        <f t="shared" si="1"/>
        <v>566.5</v>
      </c>
      <c r="F34" s="138">
        <f t="shared" si="1"/>
        <v>587.1</v>
      </c>
      <c r="G34" s="138">
        <f t="shared" si="1"/>
        <v>603.58000000000004</v>
      </c>
      <c r="H34" s="138">
        <f t="shared" si="1"/>
        <v>618</v>
      </c>
    </row>
  </sheetData>
  <mergeCells count="3">
    <mergeCell ref="C21:H21"/>
    <mergeCell ref="B21:B22"/>
    <mergeCell ref="A21:A22"/>
  </mergeCells>
  <phoneticPr fontId="0" type="noConversion"/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14CA-88A7-4DAB-BA96-20383D6921A9}">
  <dimension ref="A2:J32"/>
  <sheetViews>
    <sheetView topLeftCell="A16" workbookViewId="0">
      <selection activeCell="L26" sqref="L26"/>
    </sheetView>
  </sheetViews>
  <sheetFormatPr defaultRowHeight="12.75"/>
  <cols>
    <col min="1" max="1" width="22" bestFit="1" customWidth="1"/>
    <col min="2" max="256" width="11.42578125" customWidth="1"/>
  </cols>
  <sheetData>
    <row r="2" spans="1:10" ht="18">
      <c r="A2" s="32" t="s">
        <v>70</v>
      </c>
    </row>
    <row r="3" spans="1:10" ht="13.5" thickBot="1">
      <c r="D3" s="143" t="s">
        <v>71</v>
      </c>
      <c r="E3" s="143"/>
      <c r="F3" s="143"/>
      <c r="G3" s="143"/>
      <c r="H3" s="143"/>
      <c r="I3" s="143"/>
      <c r="J3" s="143"/>
    </row>
    <row r="4" spans="1:10" ht="14.25" thickTop="1" thickBot="1">
      <c r="A4" s="33" t="s">
        <v>72</v>
      </c>
      <c r="B4" s="34" t="s">
        <v>73</v>
      </c>
      <c r="C4" s="34" t="s">
        <v>74</v>
      </c>
      <c r="D4" s="35">
        <v>400</v>
      </c>
      <c r="E4" s="35">
        <v>500</v>
      </c>
      <c r="F4" s="35">
        <v>600</v>
      </c>
      <c r="G4" s="35">
        <v>700</v>
      </c>
      <c r="H4" s="35">
        <v>800</v>
      </c>
      <c r="I4" s="35">
        <v>900</v>
      </c>
      <c r="J4" s="35">
        <v>1000</v>
      </c>
    </row>
    <row r="5" spans="1:10">
      <c r="A5" s="36" t="s">
        <v>75</v>
      </c>
      <c r="B5" s="37">
        <v>1.5</v>
      </c>
      <c r="C5" s="38">
        <v>3.3500000000000002E-2</v>
      </c>
      <c r="D5" s="39">
        <f>$B5+$C5*D$4</f>
        <v>14.9</v>
      </c>
      <c r="E5" s="39">
        <f t="shared" ref="E5:J5" si="0">$B5+$C5*E$4</f>
        <v>18.25</v>
      </c>
      <c r="F5" s="39">
        <f t="shared" si="0"/>
        <v>21.6</v>
      </c>
      <c r="G5" s="39">
        <f t="shared" si="0"/>
        <v>24.950000000000003</v>
      </c>
      <c r="H5" s="39">
        <f t="shared" si="0"/>
        <v>28.3</v>
      </c>
      <c r="I5" s="39">
        <f t="shared" si="0"/>
        <v>31.650000000000002</v>
      </c>
      <c r="J5" s="39">
        <f t="shared" si="0"/>
        <v>35</v>
      </c>
    </row>
    <row r="6" spans="1:10">
      <c r="A6" s="40" t="s">
        <v>76</v>
      </c>
      <c r="B6" s="41">
        <v>2</v>
      </c>
      <c r="C6" s="42">
        <v>3.1E-2</v>
      </c>
      <c r="D6" s="39">
        <f t="shared" ref="D6:J26" si="1">$B6+$C6*D$4</f>
        <v>14.4</v>
      </c>
      <c r="E6" s="39">
        <f t="shared" si="1"/>
        <v>17.5</v>
      </c>
      <c r="F6" s="39">
        <f t="shared" si="1"/>
        <v>20.6</v>
      </c>
      <c r="G6" s="39">
        <f t="shared" si="1"/>
        <v>23.7</v>
      </c>
      <c r="H6" s="39">
        <f t="shared" si="1"/>
        <v>26.8</v>
      </c>
      <c r="I6" s="39">
        <f t="shared" si="1"/>
        <v>29.9</v>
      </c>
      <c r="J6" s="39">
        <f t="shared" si="1"/>
        <v>33</v>
      </c>
    </row>
    <row r="7" spans="1:10">
      <c r="A7" s="40" t="s">
        <v>77</v>
      </c>
      <c r="B7" s="41">
        <v>5</v>
      </c>
      <c r="C7" s="42">
        <v>2.7E-2</v>
      </c>
      <c r="D7" s="39">
        <f t="shared" si="1"/>
        <v>15.8</v>
      </c>
      <c r="E7" s="39">
        <f t="shared" si="1"/>
        <v>18.5</v>
      </c>
      <c r="F7" s="39">
        <f t="shared" si="1"/>
        <v>21.2</v>
      </c>
      <c r="G7" s="39">
        <f t="shared" si="1"/>
        <v>23.9</v>
      </c>
      <c r="H7" s="39">
        <f t="shared" si="1"/>
        <v>26.6</v>
      </c>
      <c r="I7" s="39">
        <f t="shared" si="1"/>
        <v>29.3</v>
      </c>
      <c r="J7" s="39">
        <f t="shared" si="1"/>
        <v>32</v>
      </c>
    </row>
    <row r="8" spans="1:10">
      <c r="A8" s="40" t="s">
        <v>78</v>
      </c>
      <c r="B8" s="41">
        <v>5</v>
      </c>
      <c r="C8" s="42">
        <v>2.9499999999999998E-2</v>
      </c>
      <c r="D8" s="39">
        <f t="shared" si="1"/>
        <v>16.799999999999997</v>
      </c>
      <c r="E8" s="39">
        <f t="shared" si="1"/>
        <v>19.75</v>
      </c>
      <c r="F8" s="39">
        <f t="shared" si="1"/>
        <v>22.7</v>
      </c>
      <c r="G8" s="39">
        <f t="shared" si="1"/>
        <v>25.65</v>
      </c>
      <c r="H8" s="39">
        <f t="shared" si="1"/>
        <v>28.599999999999998</v>
      </c>
      <c r="I8" s="39">
        <f t="shared" si="1"/>
        <v>31.549999999999997</v>
      </c>
      <c r="J8" s="39">
        <f t="shared" si="1"/>
        <v>34.5</v>
      </c>
    </row>
    <row r="9" spans="1:10">
      <c r="A9" s="40" t="s">
        <v>79</v>
      </c>
      <c r="B9" s="41">
        <v>0</v>
      </c>
      <c r="C9" s="42">
        <v>3.3000000000000002E-2</v>
      </c>
      <c r="D9" s="39">
        <f t="shared" si="1"/>
        <v>13.200000000000001</v>
      </c>
      <c r="E9" s="39">
        <f t="shared" si="1"/>
        <v>16.5</v>
      </c>
      <c r="F9" s="39">
        <f t="shared" si="1"/>
        <v>19.8</v>
      </c>
      <c r="G9" s="39">
        <f t="shared" si="1"/>
        <v>23.1</v>
      </c>
      <c r="H9" s="39">
        <f t="shared" si="1"/>
        <v>26.400000000000002</v>
      </c>
      <c r="I9" s="39">
        <f t="shared" si="1"/>
        <v>29.700000000000003</v>
      </c>
      <c r="J9" s="39">
        <f t="shared" si="1"/>
        <v>33</v>
      </c>
    </row>
    <row r="10" spans="1:10">
      <c r="A10" s="40" t="s">
        <v>80</v>
      </c>
      <c r="B10" s="41">
        <v>0</v>
      </c>
      <c r="C10" s="42">
        <v>3.3000000000000002E-2</v>
      </c>
      <c r="D10" s="39">
        <f t="shared" si="1"/>
        <v>13.200000000000001</v>
      </c>
      <c r="E10" s="39">
        <f t="shared" si="1"/>
        <v>16.5</v>
      </c>
      <c r="F10" s="39">
        <f t="shared" si="1"/>
        <v>19.8</v>
      </c>
      <c r="G10" s="39">
        <f t="shared" si="1"/>
        <v>23.1</v>
      </c>
      <c r="H10" s="39">
        <f t="shared" si="1"/>
        <v>26.400000000000002</v>
      </c>
      <c r="I10" s="39">
        <f t="shared" si="1"/>
        <v>29.700000000000003</v>
      </c>
      <c r="J10" s="39">
        <f t="shared" si="1"/>
        <v>33</v>
      </c>
    </row>
    <row r="11" spans="1:10">
      <c r="A11" s="40" t="s">
        <v>81</v>
      </c>
      <c r="B11" s="41">
        <v>1.4</v>
      </c>
      <c r="C11" s="42">
        <v>3.5000000000000003E-2</v>
      </c>
      <c r="D11" s="39">
        <f t="shared" si="1"/>
        <v>15.400000000000002</v>
      </c>
      <c r="E11" s="39">
        <f t="shared" si="1"/>
        <v>18.899999999999999</v>
      </c>
      <c r="F11" s="39">
        <f t="shared" si="1"/>
        <v>22.400000000000002</v>
      </c>
      <c r="G11" s="39">
        <f t="shared" si="1"/>
        <v>25.900000000000002</v>
      </c>
      <c r="H11" s="39">
        <f t="shared" si="1"/>
        <v>29.400000000000002</v>
      </c>
      <c r="I11" s="39">
        <f t="shared" si="1"/>
        <v>32.900000000000006</v>
      </c>
      <c r="J11" s="39">
        <f t="shared" si="1"/>
        <v>36.4</v>
      </c>
    </row>
    <row r="12" spans="1:10">
      <c r="A12" s="40" t="s">
        <v>82</v>
      </c>
      <c r="B12" s="41">
        <v>0</v>
      </c>
      <c r="C12" s="42">
        <v>0.03</v>
      </c>
      <c r="D12" s="39">
        <f t="shared" si="1"/>
        <v>12</v>
      </c>
      <c r="E12" s="39">
        <f t="shared" si="1"/>
        <v>15</v>
      </c>
      <c r="F12" s="39">
        <f t="shared" si="1"/>
        <v>18</v>
      </c>
      <c r="G12" s="39">
        <f t="shared" si="1"/>
        <v>21</v>
      </c>
      <c r="H12" s="39">
        <f t="shared" si="1"/>
        <v>24</v>
      </c>
      <c r="I12" s="39">
        <f t="shared" si="1"/>
        <v>27</v>
      </c>
      <c r="J12" s="39">
        <f t="shared" si="1"/>
        <v>30</v>
      </c>
    </row>
    <row r="13" spans="1:10">
      <c r="A13" s="40" t="s">
        <v>83</v>
      </c>
      <c r="B13" s="41">
        <v>5</v>
      </c>
      <c r="C13" s="42">
        <v>2.5999999999999999E-2</v>
      </c>
      <c r="D13" s="39">
        <f t="shared" si="1"/>
        <v>15.4</v>
      </c>
      <c r="E13" s="39">
        <f t="shared" si="1"/>
        <v>18</v>
      </c>
      <c r="F13" s="39">
        <f t="shared" si="1"/>
        <v>20.6</v>
      </c>
      <c r="G13" s="39">
        <f t="shared" si="1"/>
        <v>23.2</v>
      </c>
      <c r="H13" s="39">
        <f t="shared" si="1"/>
        <v>25.8</v>
      </c>
      <c r="I13" s="39">
        <f t="shared" si="1"/>
        <v>28.4</v>
      </c>
      <c r="J13" s="39">
        <f t="shared" si="1"/>
        <v>31</v>
      </c>
    </row>
    <row r="14" spans="1:10">
      <c r="A14" s="40" t="s">
        <v>84</v>
      </c>
      <c r="B14" s="41">
        <v>2</v>
      </c>
      <c r="C14" s="42">
        <v>3.2000000000000001E-2</v>
      </c>
      <c r="D14" s="39">
        <f t="shared" si="1"/>
        <v>14.8</v>
      </c>
      <c r="E14" s="39">
        <f t="shared" si="1"/>
        <v>18</v>
      </c>
      <c r="F14" s="39">
        <f t="shared" si="1"/>
        <v>21.2</v>
      </c>
      <c r="G14" s="39">
        <f t="shared" si="1"/>
        <v>24.400000000000002</v>
      </c>
      <c r="H14" s="39">
        <f t="shared" si="1"/>
        <v>27.6</v>
      </c>
      <c r="I14" s="39">
        <f t="shared" si="1"/>
        <v>30.8</v>
      </c>
      <c r="J14" s="39">
        <f t="shared" si="1"/>
        <v>34</v>
      </c>
    </row>
    <row r="15" spans="1:10">
      <c r="A15" s="40" t="s">
        <v>85</v>
      </c>
      <c r="B15" s="41">
        <v>0</v>
      </c>
      <c r="C15" s="42">
        <v>3.2500000000000001E-2</v>
      </c>
      <c r="D15" s="39">
        <f t="shared" si="1"/>
        <v>13</v>
      </c>
      <c r="E15" s="39">
        <f t="shared" si="1"/>
        <v>16.25</v>
      </c>
      <c r="F15" s="39">
        <f t="shared" si="1"/>
        <v>19.5</v>
      </c>
      <c r="G15" s="39">
        <f t="shared" si="1"/>
        <v>22.75</v>
      </c>
      <c r="H15" s="39">
        <f t="shared" si="1"/>
        <v>26</v>
      </c>
      <c r="I15" s="39">
        <f t="shared" si="1"/>
        <v>29.25</v>
      </c>
      <c r="J15" s="39">
        <f t="shared" si="1"/>
        <v>32.5</v>
      </c>
    </row>
    <row r="16" spans="1:10">
      <c r="A16" s="40" t="s">
        <v>86</v>
      </c>
      <c r="B16" s="41">
        <v>1.9</v>
      </c>
      <c r="C16" s="42">
        <v>3.3500000000000002E-2</v>
      </c>
      <c r="D16" s="39">
        <f t="shared" si="1"/>
        <v>15.3</v>
      </c>
      <c r="E16" s="39">
        <f t="shared" si="1"/>
        <v>18.649999999999999</v>
      </c>
      <c r="F16" s="39">
        <f t="shared" si="1"/>
        <v>22</v>
      </c>
      <c r="G16" s="39">
        <f t="shared" si="1"/>
        <v>25.35</v>
      </c>
      <c r="H16" s="39">
        <f t="shared" si="1"/>
        <v>28.7</v>
      </c>
      <c r="I16" s="39">
        <f t="shared" si="1"/>
        <v>32.050000000000004</v>
      </c>
      <c r="J16" s="39">
        <f t="shared" si="1"/>
        <v>35.4</v>
      </c>
    </row>
    <row r="17" spans="1:10">
      <c r="A17" s="40" t="s">
        <v>87</v>
      </c>
      <c r="B17" s="41">
        <v>0</v>
      </c>
      <c r="C17" s="42">
        <v>3.2500000000000001E-2</v>
      </c>
      <c r="D17" s="39">
        <f t="shared" si="1"/>
        <v>13</v>
      </c>
      <c r="E17" s="39">
        <f t="shared" si="1"/>
        <v>16.25</v>
      </c>
      <c r="F17" s="39">
        <f t="shared" si="1"/>
        <v>19.5</v>
      </c>
      <c r="G17" s="39">
        <f t="shared" si="1"/>
        <v>22.75</v>
      </c>
      <c r="H17" s="39">
        <f t="shared" si="1"/>
        <v>26</v>
      </c>
      <c r="I17" s="39">
        <f t="shared" si="1"/>
        <v>29.25</v>
      </c>
      <c r="J17" s="39">
        <f t="shared" si="1"/>
        <v>32.5</v>
      </c>
    </row>
    <row r="18" spans="1:10">
      <c r="A18" s="40" t="s">
        <v>88</v>
      </c>
      <c r="B18" s="41">
        <v>2.5</v>
      </c>
      <c r="C18" s="42">
        <v>3.2500000000000001E-2</v>
      </c>
      <c r="D18" s="39">
        <f t="shared" si="1"/>
        <v>15.5</v>
      </c>
      <c r="E18" s="39">
        <f t="shared" si="1"/>
        <v>18.75</v>
      </c>
      <c r="F18" s="39">
        <f t="shared" si="1"/>
        <v>22</v>
      </c>
      <c r="G18" s="39">
        <f t="shared" si="1"/>
        <v>25.25</v>
      </c>
      <c r="H18" s="39">
        <f t="shared" si="1"/>
        <v>28.5</v>
      </c>
      <c r="I18" s="39">
        <f t="shared" si="1"/>
        <v>31.75</v>
      </c>
      <c r="J18" s="39">
        <f t="shared" si="1"/>
        <v>35</v>
      </c>
    </row>
    <row r="19" spans="1:10">
      <c r="A19" s="40" t="s">
        <v>89</v>
      </c>
      <c r="B19" s="41">
        <v>2.25</v>
      </c>
      <c r="C19" s="42">
        <v>3.4000000000000002E-2</v>
      </c>
      <c r="D19" s="39">
        <f t="shared" si="1"/>
        <v>15.850000000000001</v>
      </c>
      <c r="E19" s="39">
        <f t="shared" si="1"/>
        <v>19.25</v>
      </c>
      <c r="F19" s="39">
        <f t="shared" si="1"/>
        <v>22.650000000000002</v>
      </c>
      <c r="G19" s="39">
        <f t="shared" si="1"/>
        <v>26.05</v>
      </c>
      <c r="H19" s="39">
        <f t="shared" si="1"/>
        <v>29.450000000000003</v>
      </c>
      <c r="I19" s="39">
        <f t="shared" si="1"/>
        <v>32.85</v>
      </c>
      <c r="J19" s="39">
        <f t="shared" si="1"/>
        <v>36.25</v>
      </c>
    </row>
    <row r="20" spans="1:10">
      <c r="A20" s="40" t="s">
        <v>90</v>
      </c>
      <c r="B20" s="41">
        <v>1.95</v>
      </c>
      <c r="C20" s="42">
        <v>3.3000000000000002E-2</v>
      </c>
      <c r="D20" s="39">
        <f t="shared" si="1"/>
        <v>15.15</v>
      </c>
      <c r="E20" s="39">
        <f t="shared" si="1"/>
        <v>18.45</v>
      </c>
      <c r="F20" s="39">
        <f t="shared" si="1"/>
        <v>21.75</v>
      </c>
      <c r="G20" s="39">
        <f t="shared" si="1"/>
        <v>25.05</v>
      </c>
      <c r="H20" s="39">
        <f t="shared" si="1"/>
        <v>28.35</v>
      </c>
      <c r="I20" s="39">
        <f t="shared" si="1"/>
        <v>31.650000000000002</v>
      </c>
      <c r="J20" s="39">
        <f t="shared" si="1"/>
        <v>34.950000000000003</v>
      </c>
    </row>
    <row r="21" spans="1:10">
      <c r="A21" s="40" t="s">
        <v>91</v>
      </c>
      <c r="B21" s="41">
        <v>2</v>
      </c>
      <c r="C21" s="42">
        <v>3.3000000000000002E-2</v>
      </c>
      <c r="D21" s="39">
        <f t="shared" si="1"/>
        <v>15.200000000000001</v>
      </c>
      <c r="E21" s="39">
        <f t="shared" si="1"/>
        <v>18.5</v>
      </c>
      <c r="F21" s="39">
        <f t="shared" si="1"/>
        <v>21.8</v>
      </c>
      <c r="G21" s="39">
        <f t="shared" si="1"/>
        <v>25.1</v>
      </c>
      <c r="H21" s="39">
        <f t="shared" si="1"/>
        <v>28.400000000000002</v>
      </c>
      <c r="I21" s="39">
        <f t="shared" si="1"/>
        <v>31.700000000000003</v>
      </c>
      <c r="J21" s="39">
        <f t="shared" si="1"/>
        <v>35</v>
      </c>
    </row>
    <row r="22" spans="1:10">
      <c r="A22" s="40" t="s">
        <v>92</v>
      </c>
      <c r="B22" s="41">
        <v>2</v>
      </c>
      <c r="C22" s="42">
        <v>3.3000000000000002E-2</v>
      </c>
      <c r="D22" s="39">
        <f t="shared" si="1"/>
        <v>15.200000000000001</v>
      </c>
      <c r="E22" s="39">
        <f t="shared" si="1"/>
        <v>18.5</v>
      </c>
      <c r="F22" s="39">
        <f t="shared" si="1"/>
        <v>21.8</v>
      </c>
      <c r="G22" s="39">
        <f t="shared" si="1"/>
        <v>25.1</v>
      </c>
      <c r="H22" s="39">
        <f t="shared" si="1"/>
        <v>28.400000000000002</v>
      </c>
      <c r="I22" s="39">
        <f t="shared" si="1"/>
        <v>31.700000000000003</v>
      </c>
      <c r="J22" s="39">
        <f t="shared" si="1"/>
        <v>35</v>
      </c>
    </row>
    <row r="23" spans="1:10">
      <c r="A23" s="40" t="s">
        <v>93</v>
      </c>
      <c r="B23" s="41">
        <v>0</v>
      </c>
      <c r="C23" s="42">
        <v>3.5000000000000003E-2</v>
      </c>
      <c r="D23" s="39">
        <f t="shared" si="1"/>
        <v>14.000000000000002</v>
      </c>
      <c r="E23" s="39">
        <f t="shared" si="1"/>
        <v>17.5</v>
      </c>
      <c r="F23" s="39">
        <f t="shared" si="1"/>
        <v>21.000000000000004</v>
      </c>
      <c r="G23" s="39">
        <f t="shared" si="1"/>
        <v>24.500000000000004</v>
      </c>
      <c r="H23" s="39">
        <f t="shared" si="1"/>
        <v>28.000000000000004</v>
      </c>
      <c r="I23" s="39">
        <f t="shared" si="1"/>
        <v>31.500000000000004</v>
      </c>
      <c r="J23" s="39">
        <f t="shared" si="1"/>
        <v>35</v>
      </c>
    </row>
    <row r="24" spans="1:10">
      <c r="A24" s="40" t="s">
        <v>94</v>
      </c>
      <c r="B24" s="41">
        <v>0</v>
      </c>
      <c r="C24" s="42">
        <v>3.4000000000000002E-2</v>
      </c>
      <c r="D24" s="39">
        <f t="shared" si="1"/>
        <v>13.600000000000001</v>
      </c>
      <c r="E24" s="39">
        <f t="shared" si="1"/>
        <v>17</v>
      </c>
      <c r="F24" s="39">
        <f t="shared" si="1"/>
        <v>20.400000000000002</v>
      </c>
      <c r="G24" s="39">
        <f t="shared" si="1"/>
        <v>23.8</v>
      </c>
      <c r="H24" s="39">
        <f t="shared" si="1"/>
        <v>27.200000000000003</v>
      </c>
      <c r="I24" s="39">
        <f t="shared" si="1"/>
        <v>30.6</v>
      </c>
      <c r="J24" s="39">
        <f t="shared" si="1"/>
        <v>34</v>
      </c>
    </row>
    <row r="25" spans="1:10">
      <c r="A25" s="40" t="s">
        <v>95</v>
      </c>
      <c r="B25" s="41">
        <v>3</v>
      </c>
      <c r="C25" s="42">
        <v>3.4000000000000002E-2</v>
      </c>
      <c r="D25" s="39">
        <f t="shared" si="1"/>
        <v>16.600000000000001</v>
      </c>
      <c r="E25" s="39">
        <f t="shared" si="1"/>
        <v>20</v>
      </c>
      <c r="F25" s="39">
        <f t="shared" si="1"/>
        <v>23.400000000000002</v>
      </c>
      <c r="G25" s="39">
        <f t="shared" si="1"/>
        <v>26.8</v>
      </c>
      <c r="H25" s="39">
        <f t="shared" si="1"/>
        <v>30.200000000000003</v>
      </c>
      <c r="I25" s="39">
        <f t="shared" si="1"/>
        <v>33.6</v>
      </c>
      <c r="J25" s="39">
        <f t="shared" si="1"/>
        <v>37</v>
      </c>
    </row>
    <row r="26" spans="1:10" ht="13.5" thickBot="1">
      <c r="A26" s="40" t="s">
        <v>96</v>
      </c>
      <c r="B26" s="43">
        <v>2.5</v>
      </c>
      <c r="C26" s="44">
        <v>3.1E-2</v>
      </c>
      <c r="D26" s="39">
        <f t="shared" si="1"/>
        <v>14.9</v>
      </c>
      <c r="E26" s="39">
        <f t="shared" si="1"/>
        <v>18</v>
      </c>
      <c r="F26" s="39">
        <f t="shared" si="1"/>
        <v>21.1</v>
      </c>
      <c r="G26" s="39">
        <f t="shared" si="1"/>
        <v>24.2</v>
      </c>
      <c r="H26" s="39">
        <f t="shared" si="1"/>
        <v>27.3</v>
      </c>
      <c r="I26" s="39">
        <f t="shared" si="1"/>
        <v>30.4</v>
      </c>
      <c r="J26" s="39">
        <f t="shared" si="1"/>
        <v>33.5</v>
      </c>
    </row>
    <row r="27" spans="1:10" ht="13.5" thickBot="1">
      <c r="A27" s="45" t="s">
        <v>97</v>
      </c>
      <c r="B27" s="181">
        <f>AVERAGE(B5:B26)</f>
        <v>1.8181818181818181</v>
      </c>
      <c r="C27" s="46">
        <f>AVERAGE(C5:C26)</f>
        <v>3.2181818181818193E-2</v>
      </c>
      <c r="D27" s="47">
        <f>AVERAGE(D5:D26)</f>
        <v>14.690909090909093</v>
      </c>
      <c r="E27" s="47">
        <f t="shared" ref="E27:J27" si="2">AVERAGE(E5:E26)</f>
        <v>17.90909090909091</v>
      </c>
      <c r="F27" s="47">
        <f t="shared" si="2"/>
        <v>21.127272727272725</v>
      </c>
      <c r="G27" s="47">
        <f t="shared" si="2"/>
        <v>24.345454545454551</v>
      </c>
      <c r="H27" s="47">
        <f t="shared" si="2"/>
        <v>27.563636363636366</v>
      </c>
      <c r="I27" s="47">
        <f t="shared" si="2"/>
        <v>30.781818181818188</v>
      </c>
      <c r="J27" s="47">
        <f t="shared" si="2"/>
        <v>34</v>
      </c>
    </row>
    <row r="30" spans="1:10">
      <c r="A30" t="s">
        <v>98</v>
      </c>
    </row>
    <row r="31" spans="1:10">
      <c r="A31" t="s">
        <v>99</v>
      </c>
    </row>
    <row r="32" spans="1:10">
      <c r="A32" t="s">
        <v>100</v>
      </c>
    </row>
  </sheetData>
  <mergeCells count="1">
    <mergeCell ref="D3:J3"/>
  </mergeCells>
  <phoneticPr fontId="0" type="noConversion"/>
  <printOptions horizontalCentered="1" verticalCentered="1"/>
  <pageMargins left="0.75" right="0.75" top="1" bottom="1" header="0" footer="0"/>
  <pageSetup paperSize="5" orientation="landscape" horizontalDpi="0" verticalDpi="0" r:id="rId1"/>
  <headerFooter alignWithMargins="0">
    <oddHeader>&amp;C&amp;A</oddHeader>
    <oddFooter>Página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0AA2-8449-489D-9897-F026C18A5A3D}">
  <dimension ref="A3:E14"/>
  <sheetViews>
    <sheetView tabSelected="1" zoomScale="150" zoomScaleNormal="150" workbookViewId="0">
      <selection activeCell="I7" sqref="I7"/>
    </sheetView>
  </sheetViews>
  <sheetFormatPr defaultRowHeight="12.75"/>
  <cols>
    <col min="1" max="1" width="31.28515625" customWidth="1"/>
    <col min="2" max="2" width="10.5703125" customWidth="1"/>
    <col min="3" max="3" width="9.85546875" customWidth="1"/>
    <col min="4" max="256" width="11.42578125" customWidth="1"/>
  </cols>
  <sheetData>
    <row r="3" spans="1:5">
      <c r="D3" s="2" t="s">
        <v>101</v>
      </c>
      <c r="E3" s="2" t="s">
        <v>102</v>
      </c>
    </row>
    <row r="4" spans="1:5">
      <c r="D4" s="3">
        <v>0.1</v>
      </c>
      <c r="E4" s="3">
        <v>0.2</v>
      </c>
    </row>
    <row r="5" spans="1:5" ht="13.5" thickBot="1">
      <c r="A5" s="4" t="s">
        <v>103</v>
      </c>
      <c r="B5" s="4" t="s">
        <v>104</v>
      </c>
      <c r="C5" s="4" t="s">
        <v>105</v>
      </c>
      <c r="D5" s="63" t="s">
        <v>106</v>
      </c>
      <c r="E5" s="63" t="s">
        <v>107</v>
      </c>
    </row>
    <row r="6" spans="1:5" ht="14.25" thickTop="1" thickBot="1">
      <c r="A6" s="5" t="s">
        <v>108</v>
      </c>
      <c r="B6" s="5">
        <v>10</v>
      </c>
      <c r="C6" s="6">
        <v>18</v>
      </c>
      <c r="D6" s="64">
        <f>($B6*$C6)*(1-D$4)</f>
        <v>162</v>
      </c>
      <c r="E6" s="65">
        <f>($B6*$C6)*(1-E$4)</f>
        <v>144</v>
      </c>
    </row>
    <row r="7" spans="1:5" ht="13.5" thickBot="1">
      <c r="A7" s="5" t="s">
        <v>109</v>
      </c>
      <c r="B7" s="5">
        <v>21</v>
      </c>
      <c r="C7" s="6">
        <v>19</v>
      </c>
      <c r="D7" s="64">
        <f t="shared" ref="D7:E11" si="0">($B7*$C7)*(1-D$4)</f>
        <v>359.1</v>
      </c>
      <c r="E7" s="65">
        <f t="shared" si="0"/>
        <v>319.20000000000005</v>
      </c>
    </row>
    <row r="8" spans="1:5" ht="13.5" thickBot="1">
      <c r="A8" s="5" t="s">
        <v>110</v>
      </c>
      <c r="B8" s="5">
        <v>44</v>
      </c>
      <c r="C8" s="6">
        <v>10</v>
      </c>
      <c r="D8" s="64">
        <f t="shared" si="0"/>
        <v>396</v>
      </c>
      <c r="E8" s="65">
        <f t="shared" si="0"/>
        <v>352</v>
      </c>
    </row>
    <row r="9" spans="1:5" ht="13.5" thickBot="1">
      <c r="A9" s="5" t="s">
        <v>111</v>
      </c>
      <c r="B9" s="5">
        <v>22</v>
      </c>
      <c r="C9" s="6">
        <v>22</v>
      </c>
      <c r="D9" s="64">
        <f t="shared" si="0"/>
        <v>435.6</v>
      </c>
      <c r="E9" s="65">
        <f t="shared" si="0"/>
        <v>387.20000000000005</v>
      </c>
    </row>
    <row r="10" spans="1:5" ht="13.5" thickBot="1">
      <c r="A10" s="5" t="s">
        <v>112</v>
      </c>
      <c r="B10" s="5">
        <v>32</v>
      </c>
      <c r="C10" s="6">
        <v>21.35</v>
      </c>
      <c r="D10" s="64">
        <f t="shared" si="0"/>
        <v>614.88000000000011</v>
      </c>
      <c r="E10" s="65">
        <f t="shared" si="0"/>
        <v>546.56000000000006</v>
      </c>
    </row>
    <row r="11" spans="1:5" ht="13.5" thickBot="1">
      <c r="A11" s="7" t="s">
        <v>113</v>
      </c>
      <c r="B11" s="7">
        <v>12</v>
      </c>
      <c r="C11" s="8">
        <v>25</v>
      </c>
      <c r="D11" s="64">
        <f t="shared" si="0"/>
        <v>270</v>
      </c>
      <c r="E11" s="65">
        <f t="shared" si="0"/>
        <v>240</v>
      </c>
    </row>
    <row r="12" spans="1:5" ht="13.5" thickBot="1">
      <c r="A12" s="9" t="s">
        <v>114</v>
      </c>
      <c r="D12" s="140">
        <f>SUM(D6:D11)</f>
        <v>2237.58</v>
      </c>
      <c r="E12" s="62"/>
    </row>
    <row r="13" spans="1:5" ht="13.5" thickBot="1">
      <c r="A13" s="9" t="s">
        <v>115</v>
      </c>
      <c r="D13" s="62"/>
      <c r="E13" s="140">
        <f>SUM(E6:E11)</f>
        <v>1988.96</v>
      </c>
    </row>
    <row r="14" spans="1:5" ht="13.5" thickBot="1">
      <c r="A14" s="9" t="s">
        <v>116</v>
      </c>
      <c r="D14" s="10">
        <f>D12-E13</f>
        <v>248.61999999999989</v>
      </c>
      <c r="E14" s="62"/>
    </row>
  </sheetData>
  <phoneticPr fontId="0" type="noConversion"/>
  <printOptions horizontalCentered="1" verticalCentered="1"/>
  <pageMargins left="0.75" right="0.75" top="1" bottom="1" header="0.51181102362204722" footer="0.51181102362204722"/>
  <pageSetup paperSize="5" orientation="landscape" horizontalDpi="300" verticalDpi="0" r:id="rId1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B7B5-1E0F-4D95-8089-EB0C7D71D357}">
  <dimension ref="B2:I31"/>
  <sheetViews>
    <sheetView topLeftCell="A4" workbookViewId="0">
      <selection activeCell="H17" sqref="H17"/>
    </sheetView>
  </sheetViews>
  <sheetFormatPr defaultRowHeight="12.75"/>
  <cols>
    <col min="1" max="1" width="11.42578125" customWidth="1"/>
    <col min="2" max="2" width="18.85546875" bestFit="1" customWidth="1"/>
    <col min="3" max="3" width="14.7109375" bestFit="1" customWidth="1"/>
    <col min="4" max="256" width="11.42578125" customWidth="1"/>
  </cols>
  <sheetData>
    <row r="2" spans="2:9">
      <c r="B2" s="77" t="s">
        <v>117</v>
      </c>
      <c r="C2" s="78" t="s">
        <v>118</v>
      </c>
    </row>
    <row r="3" spans="2:9" ht="25.5">
      <c r="B3" s="79" t="s">
        <v>119</v>
      </c>
      <c r="C3" s="80" t="s">
        <v>120</v>
      </c>
    </row>
    <row r="4" spans="2:9">
      <c r="B4" s="81">
        <v>8</v>
      </c>
      <c r="C4" s="82" t="s">
        <v>121</v>
      </c>
      <c r="E4" s="160" t="s">
        <v>122</v>
      </c>
      <c r="F4" s="160"/>
      <c r="G4" s="160"/>
      <c r="H4" s="160"/>
      <c r="I4" s="83"/>
    </row>
    <row r="5" spans="2:9">
      <c r="B5" s="81">
        <v>12</v>
      </c>
      <c r="C5" s="82" t="s">
        <v>123</v>
      </c>
      <c r="E5" s="160" t="s">
        <v>124</v>
      </c>
      <c r="F5" s="160"/>
      <c r="G5" s="160"/>
      <c r="H5" s="160"/>
      <c r="I5" s="83"/>
    </row>
    <row r="6" spans="2:9">
      <c r="B6" s="81">
        <v>9</v>
      </c>
      <c r="C6" s="82" t="s">
        <v>37</v>
      </c>
      <c r="E6" s="160" t="s">
        <v>125</v>
      </c>
      <c r="F6" s="160"/>
      <c r="G6" s="160"/>
      <c r="H6" s="160"/>
      <c r="I6" s="83"/>
    </row>
    <row r="7" spans="2:9">
      <c r="B7" s="81">
        <v>11</v>
      </c>
      <c r="C7" s="82" t="s">
        <v>37</v>
      </c>
      <c r="E7" s="160" t="s">
        <v>126</v>
      </c>
      <c r="F7" s="160"/>
      <c r="G7" s="160"/>
      <c r="H7" s="160"/>
      <c r="I7" s="83"/>
    </row>
    <row r="8" spans="2:9">
      <c r="B8" s="81">
        <v>7</v>
      </c>
      <c r="C8" s="82" t="s">
        <v>121</v>
      </c>
      <c r="E8" s="160" t="s">
        <v>127</v>
      </c>
      <c r="F8" s="160"/>
      <c r="G8" s="160"/>
      <c r="H8" s="160"/>
      <c r="I8" s="83"/>
    </row>
    <row r="9" spans="2:9">
      <c r="B9" s="81">
        <v>12</v>
      </c>
      <c r="C9" s="82" t="s">
        <v>37</v>
      </c>
      <c r="E9" s="160" t="s">
        <v>128</v>
      </c>
      <c r="F9" s="160"/>
      <c r="G9" s="160"/>
      <c r="H9" s="160"/>
      <c r="I9" s="83"/>
    </row>
    <row r="10" spans="2:9">
      <c r="B10" s="81">
        <v>11</v>
      </c>
      <c r="C10" s="82" t="s">
        <v>37</v>
      </c>
      <c r="E10" s="84"/>
      <c r="F10" s="84"/>
      <c r="G10" s="84"/>
      <c r="H10" s="84"/>
    </row>
    <row r="11" spans="2:9">
      <c r="B11" s="81">
        <v>9</v>
      </c>
      <c r="C11" s="82" t="s">
        <v>37</v>
      </c>
      <c r="E11" s="160" t="s">
        <v>129</v>
      </c>
      <c r="F11" s="160"/>
      <c r="G11" s="160"/>
      <c r="H11" s="160"/>
      <c r="I11" s="83"/>
    </row>
    <row r="12" spans="2:9">
      <c r="B12" s="81">
        <v>5</v>
      </c>
      <c r="C12" s="82" t="s">
        <v>121</v>
      </c>
      <c r="E12" s="160" t="s">
        <v>130</v>
      </c>
      <c r="F12" s="160"/>
      <c r="G12" s="160"/>
      <c r="H12" s="160"/>
      <c r="I12" s="83"/>
    </row>
    <row r="13" spans="2:9">
      <c r="B13" s="81">
        <v>12</v>
      </c>
      <c r="C13" s="82" t="s">
        <v>37</v>
      </c>
      <c r="E13" s="160" t="s">
        <v>131</v>
      </c>
      <c r="F13" s="160"/>
      <c r="G13" s="160"/>
      <c r="H13" s="160"/>
      <c r="I13" s="83"/>
    </row>
    <row r="14" spans="2:9">
      <c r="B14" s="81">
        <v>12</v>
      </c>
      <c r="C14" s="82" t="s">
        <v>123</v>
      </c>
    </row>
    <row r="15" spans="2:9">
      <c r="B15" s="81">
        <v>10</v>
      </c>
      <c r="C15" s="82" t="s">
        <v>121</v>
      </c>
    </row>
    <row r="16" spans="2:9">
      <c r="B16" s="81">
        <v>8</v>
      </c>
      <c r="C16" s="82" t="s">
        <v>37</v>
      </c>
    </row>
    <row r="17" spans="2:3">
      <c r="B17" s="81">
        <v>12</v>
      </c>
      <c r="C17" s="82" t="s">
        <v>121</v>
      </c>
    </row>
    <row r="18" spans="2:3">
      <c r="B18" s="81">
        <v>8</v>
      </c>
      <c r="C18" s="82" t="s">
        <v>121</v>
      </c>
    </row>
    <row r="19" spans="2:3">
      <c r="B19" s="81">
        <v>10</v>
      </c>
      <c r="C19" s="82" t="s">
        <v>37</v>
      </c>
    </row>
    <row r="20" spans="2:3">
      <c r="B20" s="81">
        <v>7</v>
      </c>
      <c r="C20" s="82" t="s">
        <v>123</v>
      </c>
    </row>
    <row r="21" spans="2:3">
      <c r="B21" s="81">
        <v>12</v>
      </c>
      <c r="C21" s="82" t="s">
        <v>123</v>
      </c>
    </row>
    <row r="22" spans="2:3">
      <c r="B22" s="81">
        <v>12</v>
      </c>
      <c r="C22" s="82" t="s">
        <v>123</v>
      </c>
    </row>
    <row r="23" spans="2:3">
      <c r="B23" s="81">
        <v>6</v>
      </c>
      <c r="C23" s="82" t="s">
        <v>37</v>
      </c>
    </row>
    <row r="24" spans="2:3">
      <c r="B24" s="81">
        <v>5</v>
      </c>
      <c r="C24" s="82" t="s">
        <v>121</v>
      </c>
    </row>
    <row r="25" spans="2:3">
      <c r="B25" s="81">
        <v>10</v>
      </c>
      <c r="C25" s="82" t="s">
        <v>37</v>
      </c>
    </row>
    <row r="26" spans="2:3">
      <c r="B26" s="81">
        <v>5</v>
      </c>
      <c r="C26" s="82" t="s">
        <v>37</v>
      </c>
    </row>
    <row r="27" spans="2:3">
      <c r="B27" s="81">
        <v>12</v>
      </c>
      <c r="C27" s="82" t="s">
        <v>121</v>
      </c>
    </row>
    <row r="28" spans="2:3">
      <c r="B28" s="81">
        <v>11</v>
      </c>
      <c r="C28" s="82" t="s">
        <v>37</v>
      </c>
    </row>
    <row r="29" spans="2:3">
      <c r="B29" s="81">
        <v>12</v>
      </c>
      <c r="C29" s="82" t="s">
        <v>121</v>
      </c>
    </row>
    <row r="30" spans="2:3">
      <c r="B30" s="81">
        <v>12</v>
      </c>
      <c r="C30" s="82" t="s">
        <v>121</v>
      </c>
    </row>
    <row r="31" spans="2:3">
      <c r="B31" s="85">
        <v>5</v>
      </c>
      <c r="C31" s="86" t="s">
        <v>37</v>
      </c>
    </row>
  </sheetData>
  <mergeCells count="9">
    <mergeCell ref="E11:H11"/>
    <mergeCell ref="E12:H12"/>
    <mergeCell ref="E13:H13"/>
    <mergeCell ref="E4:H4"/>
    <mergeCell ref="E5:H5"/>
    <mergeCell ref="E6:H6"/>
    <mergeCell ref="E7:H7"/>
    <mergeCell ref="E8:H8"/>
    <mergeCell ref="E9:H9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75E4-C0A8-4904-8D99-C32147FF7297}">
  <dimension ref="A4:H14"/>
  <sheetViews>
    <sheetView workbookViewId="0">
      <selection activeCell="G20" sqref="G20"/>
    </sheetView>
  </sheetViews>
  <sheetFormatPr defaultRowHeight="12.75"/>
  <cols>
    <col min="1" max="1" width="24.28515625" bestFit="1" customWidth="1"/>
    <col min="2" max="6" width="11.42578125" customWidth="1"/>
    <col min="7" max="7" width="40" bestFit="1" customWidth="1"/>
    <col min="8" max="256" width="11.42578125" customWidth="1"/>
  </cols>
  <sheetData>
    <row r="4" spans="1:8" ht="15.75" thickBot="1">
      <c r="A4" s="87" t="s">
        <v>132</v>
      </c>
      <c r="B4" s="88" t="s">
        <v>133</v>
      </c>
      <c r="C4" s="88" t="s">
        <v>134</v>
      </c>
      <c r="D4" s="88" t="s">
        <v>135</v>
      </c>
      <c r="E4" s="88" t="s">
        <v>136</v>
      </c>
      <c r="G4" s="16" t="s">
        <v>137</v>
      </c>
      <c r="H4" s="83"/>
    </row>
    <row r="5" spans="1:8" ht="13.5" thickTop="1">
      <c r="A5" s="89" t="s">
        <v>138</v>
      </c>
      <c r="B5" s="90">
        <v>7</v>
      </c>
      <c r="C5" s="90">
        <v>8</v>
      </c>
      <c r="D5" s="90">
        <v>9</v>
      </c>
      <c r="E5" s="90"/>
      <c r="G5" s="16" t="s">
        <v>139</v>
      </c>
      <c r="H5" s="83"/>
    </row>
    <row r="6" spans="1:8">
      <c r="A6" s="91" t="s">
        <v>140</v>
      </c>
      <c r="B6" s="92">
        <v>7</v>
      </c>
      <c r="C6" s="92">
        <v>6</v>
      </c>
      <c r="D6" s="92">
        <v>5</v>
      </c>
      <c r="E6" s="92"/>
      <c r="G6" s="16" t="s">
        <v>141</v>
      </c>
      <c r="H6" s="83"/>
    </row>
    <row r="7" spans="1:8">
      <c r="A7" s="93" t="s">
        <v>142</v>
      </c>
      <c r="B7" s="94">
        <v>5</v>
      </c>
      <c r="C7" s="94">
        <v>6</v>
      </c>
      <c r="D7" s="94">
        <v>7</v>
      </c>
      <c r="E7" s="94"/>
      <c r="G7" s="16" t="s">
        <v>143</v>
      </c>
      <c r="H7" s="83"/>
    </row>
    <row r="8" spans="1:8">
      <c r="A8" s="91" t="s">
        <v>144</v>
      </c>
      <c r="B8" s="92">
        <v>9</v>
      </c>
      <c r="C8" s="92">
        <v>8</v>
      </c>
      <c r="D8" s="92">
        <v>5</v>
      </c>
      <c r="E8" s="92"/>
    </row>
    <row r="9" spans="1:8">
      <c r="A9" s="93" t="s">
        <v>145</v>
      </c>
      <c r="B9" s="94">
        <v>10</v>
      </c>
      <c r="C9" s="94">
        <v>9</v>
      </c>
      <c r="D9" s="94">
        <v>8</v>
      </c>
      <c r="E9" s="94"/>
    </row>
    <row r="10" spans="1:8">
      <c r="A10" s="91" t="s">
        <v>146</v>
      </c>
      <c r="B10" s="92">
        <v>7</v>
      </c>
      <c r="C10" s="92">
        <v>7</v>
      </c>
      <c r="D10" s="92">
        <v>7</v>
      </c>
      <c r="E10" s="92"/>
      <c r="G10" s="161" t="s">
        <v>147</v>
      </c>
      <c r="H10" s="161"/>
    </row>
    <row r="11" spans="1:8">
      <c r="A11" s="93" t="s">
        <v>148</v>
      </c>
      <c r="B11" s="94">
        <v>4</v>
      </c>
      <c r="C11" s="94">
        <v>5</v>
      </c>
      <c r="D11" s="94">
        <v>3</v>
      </c>
      <c r="E11" s="94"/>
      <c r="G11" s="161"/>
      <c r="H11" s="161"/>
    </row>
    <row r="12" spans="1:8">
      <c r="A12" s="91" t="s">
        <v>149</v>
      </c>
      <c r="B12" s="92">
        <v>7</v>
      </c>
      <c r="C12" s="92">
        <v>8</v>
      </c>
      <c r="D12" s="92">
        <v>6</v>
      </c>
      <c r="E12" s="92"/>
      <c r="G12" s="161"/>
      <c r="H12" s="161"/>
    </row>
    <row r="13" spans="1:8">
      <c r="A13" s="93" t="s">
        <v>150</v>
      </c>
      <c r="B13" s="94"/>
      <c r="C13" s="94"/>
      <c r="D13" s="94"/>
      <c r="E13" s="94"/>
      <c r="G13" s="161"/>
      <c r="H13" s="161"/>
    </row>
    <row r="14" spans="1:8">
      <c r="A14" s="91" t="s">
        <v>151</v>
      </c>
      <c r="B14" s="92">
        <v>10</v>
      </c>
      <c r="C14" s="92">
        <v>9</v>
      </c>
      <c r="D14" s="92">
        <v>9.5</v>
      </c>
      <c r="E14" s="92"/>
      <c r="G14" s="161"/>
      <c r="H14" s="161"/>
    </row>
  </sheetData>
  <mergeCells count="1">
    <mergeCell ref="G10:H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8A57-8FD8-46AB-9453-AAB0C0DFB6A0}">
  <dimension ref="A1:F20"/>
  <sheetViews>
    <sheetView workbookViewId="0">
      <selection activeCell="H13" sqref="H13"/>
    </sheetView>
  </sheetViews>
  <sheetFormatPr defaultRowHeight="12.75"/>
  <cols>
    <col min="1" max="1" width="11.42578125" customWidth="1"/>
    <col min="2" max="2" width="31.5703125" bestFit="1" customWidth="1"/>
    <col min="3" max="5" width="11.42578125" customWidth="1"/>
    <col min="6" max="6" width="12.28515625" bestFit="1" customWidth="1"/>
    <col min="7" max="256" width="11.42578125" customWidth="1"/>
  </cols>
  <sheetData>
    <row r="1" spans="1:6" ht="16.5" thickBot="1">
      <c r="A1" s="166" t="s">
        <v>152</v>
      </c>
      <c r="B1" s="167"/>
      <c r="C1" s="167"/>
      <c r="D1" s="167"/>
      <c r="E1" s="167"/>
      <c r="F1" s="168"/>
    </row>
    <row r="2" spans="1:6">
      <c r="A2" s="95" t="s">
        <v>153</v>
      </c>
      <c r="B2" s="96" t="s">
        <v>154</v>
      </c>
      <c r="C2" s="96" t="s">
        <v>155</v>
      </c>
      <c r="D2" s="96" t="s">
        <v>156</v>
      </c>
      <c r="E2" s="96" t="s">
        <v>157</v>
      </c>
      <c r="F2" s="97" t="s">
        <v>136</v>
      </c>
    </row>
    <row r="3" spans="1:6">
      <c r="A3" s="98">
        <v>1</v>
      </c>
      <c r="B3" s="99" t="s">
        <v>158</v>
      </c>
      <c r="C3" s="100">
        <v>14</v>
      </c>
      <c r="D3" s="100">
        <v>16</v>
      </c>
      <c r="E3" s="100">
        <v>14</v>
      </c>
      <c r="F3" s="101">
        <f t="shared" ref="F3:F12" si="0">AVERAGE(C3:E3)</f>
        <v>14.666666666666666</v>
      </c>
    </row>
    <row r="4" spans="1:6">
      <c r="A4" s="98">
        <v>2</v>
      </c>
      <c r="B4" s="99" t="s">
        <v>159</v>
      </c>
      <c r="C4" s="100">
        <v>5</v>
      </c>
      <c r="D4" s="100">
        <v>9</v>
      </c>
      <c r="E4" s="100">
        <v>8</v>
      </c>
      <c r="F4" s="101">
        <f t="shared" si="0"/>
        <v>7.333333333333333</v>
      </c>
    </row>
    <row r="5" spans="1:6">
      <c r="A5" s="98">
        <v>3</v>
      </c>
      <c r="B5" s="99" t="s">
        <v>160</v>
      </c>
      <c r="C5" s="100">
        <v>5</v>
      </c>
      <c r="D5" s="100">
        <v>18</v>
      </c>
      <c r="E5" s="100">
        <v>17</v>
      </c>
      <c r="F5" s="101">
        <f t="shared" si="0"/>
        <v>13.333333333333334</v>
      </c>
    </row>
    <row r="6" spans="1:6">
      <c r="A6" s="98">
        <v>4</v>
      </c>
      <c r="B6" s="99" t="s">
        <v>161</v>
      </c>
      <c r="C6" s="100">
        <v>10</v>
      </c>
      <c r="D6" s="100">
        <v>5</v>
      </c>
      <c r="E6" s="100">
        <v>8</v>
      </c>
      <c r="F6" s="101">
        <f t="shared" si="0"/>
        <v>7.666666666666667</v>
      </c>
    </row>
    <row r="7" spans="1:6">
      <c r="A7" s="98">
        <v>5</v>
      </c>
      <c r="B7" s="99" t="s">
        <v>162</v>
      </c>
      <c r="C7" s="100">
        <v>16</v>
      </c>
      <c r="D7" s="100">
        <v>16</v>
      </c>
      <c r="E7" s="100">
        <v>19</v>
      </c>
      <c r="F7" s="101">
        <f t="shared" si="0"/>
        <v>17</v>
      </c>
    </row>
    <row r="8" spans="1:6">
      <c r="A8" s="98">
        <v>6</v>
      </c>
      <c r="B8" s="99" t="s">
        <v>163</v>
      </c>
      <c r="C8" s="100">
        <v>19</v>
      </c>
      <c r="D8" s="100">
        <v>16</v>
      </c>
      <c r="E8" s="100">
        <v>15</v>
      </c>
      <c r="F8" s="101">
        <f t="shared" si="0"/>
        <v>16.666666666666668</v>
      </c>
    </row>
    <row r="9" spans="1:6">
      <c r="A9" s="98">
        <v>7</v>
      </c>
      <c r="B9" s="99" t="s">
        <v>164</v>
      </c>
      <c r="C9" s="100">
        <v>20</v>
      </c>
      <c r="D9" s="100">
        <v>18</v>
      </c>
      <c r="E9" s="100">
        <v>14</v>
      </c>
      <c r="F9" s="101">
        <f t="shared" si="0"/>
        <v>17.333333333333332</v>
      </c>
    </row>
    <row r="10" spans="1:6">
      <c r="A10" s="98">
        <v>8</v>
      </c>
      <c r="B10" s="99" t="s">
        <v>165</v>
      </c>
      <c r="C10" s="100">
        <v>14</v>
      </c>
      <c r="D10" s="100">
        <v>17</v>
      </c>
      <c r="E10" s="100">
        <v>16</v>
      </c>
      <c r="F10" s="101">
        <f t="shared" si="0"/>
        <v>15.666666666666666</v>
      </c>
    </row>
    <row r="11" spans="1:6">
      <c r="A11" s="98">
        <v>9</v>
      </c>
      <c r="B11" s="99" t="s">
        <v>166</v>
      </c>
      <c r="C11" s="100">
        <v>18</v>
      </c>
      <c r="D11" s="100">
        <v>16</v>
      </c>
      <c r="E11" s="100">
        <v>19</v>
      </c>
      <c r="F11" s="101">
        <f t="shared" si="0"/>
        <v>17.666666666666668</v>
      </c>
    </row>
    <row r="12" spans="1:6" ht="13.5" thickBot="1">
      <c r="A12" s="102">
        <v>10</v>
      </c>
      <c r="B12" s="103" t="s">
        <v>167</v>
      </c>
      <c r="C12" s="104">
        <v>5</v>
      </c>
      <c r="D12" s="104">
        <v>15</v>
      </c>
      <c r="E12" s="104">
        <v>8</v>
      </c>
      <c r="F12" s="105">
        <f t="shared" si="0"/>
        <v>9.3333333333333339</v>
      </c>
    </row>
    <row r="13" spans="1:6">
      <c r="A13" s="106"/>
      <c r="B13" s="106"/>
      <c r="C13" s="106"/>
      <c r="D13" s="106"/>
      <c r="E13" s="106"/>
      <c r="F13" s="106"/>
    </row>
    <row r="14" spans="1:6">
      <c r="A14" s="169" t="s">
        <v>168</v>
      </c>
      <c r="B14" s="169"/>
      <c r="C14" s="169"/>
      <c r="D14" s="169"/>
      <c r="E14" s="169"/>
      <c r="F14" s="107" t="s">
        <v>169</v>
      </c>
    </row>
    <row r="15" spans="1:6">
      <c r="A15" s="108">
        <v>1</v>
      </c>
      <c r="B15" s="162" t="s">
        <v>170</v>
      </c>
      <c r="C15" s="162"/>
      <c r="D15" s="162"/>
      <c r="E15" s="162"/>
      <c r="F15" s="141"/>
    </row>
    <row r="16" spans="1:6">
      <c r="A16" s="108">
        <v>2</v>
      </c>
      <c r="B16" s="162" t="s">
        <v>171</v>
      </c>
      <c r="C16" s="162"/>
      <c r="D16" s="162"/>
      <c r="E16" s="162"/>
      <c r="F16" s="141"/>
    </row>
    <row r="17" spans="1:6">
      <c r="A17" s="108">
        <v>3</v>
      </c>
      <c r="B17" s="162" t="s">
        <v>172</v>
      </c>
      <c r="C17" s="162"/>
      <c r="D17" s="162"/>
      <c r="E17" s="162"/>
      <c r="F17" s="141"/>
    </row>
    <row r="18" spans="1:6">
      <c r="A18" s="108">
        <v>4</v>
      </c>
      <c r="B18" s="162" t="s">
        <v>173</v>
      </c>
      <c r="C18" s="162"/>
      <c r="D18" s="162"/>
      <c r="E18" s="162"/>
      <c r="F18" s="141"/>
    </row>
    <row r="19" spans="1:6">
      <c r="A19" s="108">
        <v>5</v>
      </c>
      <c r="B19" s="162" t="s">
        <v>174</v>
      </c>
      <c r="C19" s="162"/>
      <c r="D19" s="162"/>
      <c r="E19" s="162"/>
      <c r="F19" s="141"/>
    </row>
    <row r="20" spans="1:6">
      <c r="A20" s="163"/>
      <c r="B20" s="164"/>
      <c r="C20" s="164"/>
      <c r="D20" s="164"/>
      <c r="E20" s="165"/>
      <c r="F20" s="141"/>
    </row>
  </sheetData>
  <mergeCells count="8">
    <mergeCell ref="B19:E19"/>
    <mergeCell ref="A20:E20"/>
    <mergeCell ref="A1:F1"/>
    <mergeCell ref="A14:E14"/>
    <mergeCell ref="B15:E15"/>
    <mergeCell ref="B16:E16"/>
    <mergeCell ref="B17:E17"/>
    <mergeCell ref="B18:E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1F43-44E7-4EA4-A441-A35AEB2E1546}">
  <dimension ref="A1:H21"/>
  <sheetViews>
    <sheetView workbookViewId="0">
      <selection activeCell="I17" sqref="I17"/>
    </sheetView>
  </sheetViews>
  <sheetFormatPr defaultRowHeight="12.75"/>
  <cols>
    <col min="1" max="1" width="11.42578125" customWidth="1"/>
    <col min="2" max="2" width="24.7109375" bestFit="1" customWidth="1"/>
    <col min="3" max="3" width="11.42578125" customWidth="1"/>
    <col min="4" max="4" width="11.28515625" bestFit="1" customWidth="1"/>
    <col min="5" max="5" width="6.5703125" bestFit="1" customWidth="1"/>
    <col min="6" max="6" width="5.28515625" bestFit="1" customWidth="1"/>
    <col min="7" max="7" width="12.85546875" bestFit="1" customWidth="1"/>
    <col min="8" max="8" width="10.5703125" bestFit="1" customWidth="1"/>
    <col min="9" max="256" width="11.42578125" customWidth="1"/>
  </cols>
  <sheetData>
    <row r="1" spans="1:8">
      <c r="A1" s="172" t="s">
        <v>175</v>
      </c>
      <c r="B1" s="173"/>
      <c r="C1" s="173"/>
      <c r="D1" s="173"/>
      <c r="E1" s="173"/>
      <c r="F1" s="173"/>
      <c r="G1" s="173"/>
      <c r="H1" s="174"/>
    </row>
    <row r="2" spans="1:8" ht="13.5" thickBot="1">
      <c r="A2" s="175"/>
      <c r="B2" s="176"/>
      <c r="C2" s="176"/>
      <c r="D2" s="176"/>
      <c r="E2" s="176"/>
      <c r="F2" s="176"/>
      <c r="G2" s="176"/>
      <c r="H2" s="177"/>
    </row>
    <row r="3" spans="1:8" ht="27">
      <c r="A3" s="109" t="s">
        <v>153</v>
      </c>
      <c r="B3" s="110" t="s">
        <v>154</v>
      </c>
      <c r="C3" s="110" t="s">
        <v>176</v>
      </c>
      <c r="D3" s="110" t="s">
        <v>177</v>
      </c>
      <c r="E3" s="110" t="s">
        <v>178</v>
      </c>
      <c r="F3" s="110" t="s">
        <v>179</v>
      </c>
      <c r="G3" s="110" t="s">
        <v>180</v>
      </c>
      <c r="H3" s="111" t="s">
        <v>181</v>
      </c>
    </row>
    <row r="4" spans="1:8" ht="13.5">
      <c r="A4" s="112">
        <v>1</v>
      </c>
      <c r="B4" s="113" t="s">
        <v>182</v>
      </c>
      <c r="C4" s="114">
        <v>19</v>
      </c>
      <c r="D4" s="115" t="s">
        <v>183</v>
      </c>
      <c r="E4" s="114">
        <v>1500</v>
      </c>
      <c r="F4" s="114">
        <v>1</v>
      </c>
      <c r="G4" s="115" t="s">
        <v>184</v>
      </c>
      <c r="H4" s="116">
        <f t="shared" ref="H4:H13" si="0">IF(C4&gt;=20, E4+300,E4)</f>
        <v>1500</v>
      </c>
    </row>
    <row r="5" spans="1:8" ht="13.5">
      <c r="A5" s="112">
        <v>2</v>
      </c>
      <c r="B5" s="117" t="s">
        <v>185</v>
      </c>
      <c r="C5" s="114">
        <v>20</v>
      </c>
      <c r="D5" s="115" t="s">
        <v>183</v>
      </c>
      <c r="E5" s="114">
        <v>1500</v>
      </c>
      <c r="F5" s="114">
        <v>0</v>
      </c>
      <c r="G5" s="115" t="s">
        <v>186</v>
      </c>
      <c r="H5" s="116">
        <f t="shared" si="0"/>
        <v>1800</v>
      </c>
    </row>
    <row r="6" spans="1:8" ht="13.5">
      <c r="A6" s="112">
        <v>3</v>
      </c>
      <c r="B6" s="117" t="s">
        <v>187</v>
      </c>
      <c r="C6" s="114">
        <v>19</v>
      </c>
      <c r="D6" s="115" t="s">
        <v>188</v>
      </c>
      <c r="E6" s="114">
        <v>1200</v>
      </c>
      <c r="F6" s="114">
        <v>4</v>
      </c>
      <c r="G6" s="115" t="s">
        <v>189</v>
      </c>
      <c r="H6" s="116">
        <f t="shared" si="0"/>
        <v>1200</v>
      </c>
    </row>
    <row r="7" spans="1:8" ht="13.5">
      <c r="A7" s="112">
        <v>4</v>
      </c>
      <c r="B7" s="117" t="s">
        <v>190</v>
      </c>
      <c r="C7" s="114">
        <v>26</v>
      </c>
      <c r="D7" s="115" t="s">
        <v>183</v>
      </c>
      <c r="E7" s="114">
        <v>1500</v>
      </c>
      <c r="F7" s="114">
        <v>0</v>
      </c>
      <c r="G7" s="115" t="s">
        <v>186</v>
      </c>
      <c r="H7" s="116">
        <f t="shared" si="0"/>
        <v>1800</v>
      </c>
    </row>
    <row r="8" spans="1:8" ht="13.5">
      <c r="A8" s="112">
        <v>5</v>
      </c>
      <c r="B8" s="117" t="s">
        <v>191</v>
      </c>
      <c r="C8" s="114">
        <v>30</v>
      </c>
      <c r="D8" s="115" t="s">
        <v>188</v>
      </c>
      <c r="E8" s="114">
        <v>1200</v>
      </c>
      <c r="F8" s="114">
        <v>4</v>
      </c>
      <c r="G8" s="115" t="s">
        <v>186</v>
      </c>
      <c r="H8" s="116">
        <f t="shared" si="0"/>
        <v>1500</v>
      </c>
    </row>
    <row r="9" spans="1:8" ht="13.5">
      <c r="A9" s="112">
        <v>6</v>
      </c>
      <c r="B9" s="117" t="s">
        <v>192</v>
      </c>
      <c r="C9" s="114">
        <v>14</v>
      </c>
      <c r="D9" s="115" t="s">
        <v>188</v>
      </c>
      <c r="E9" s="114">
        <v>1200</v>
      </c>
      <c r="F9" s="114">
        <v>5</v>
      </c>
      <c r="G9" s="115" t="s">
        <v>186</v>
      </c>
      <c r="H9" s="116">
        <f t="shared" si="0"/>
        <v>1200</v>
      </c>
    </row>
    <row r="10" spans="1:8" ht="13.5">
      <c r="A10" s="112">
        <v>7</v>
      </c>
      <c r="B10" s="117" t="s">
        <v>193</v>
      </c>
      <c r="C10" s="114">
        <v>19</v>
      </c>
      <c r="D10" s="115" t="s">
        <v>183</v>
      </c>
      <c r="E10" s="114">
        <v>1500</v>
      </c>
      <c r="F10" s="114">
        <v>0</v>
      </c>
      <c r="G10" s="115" t="s">
        <v>184</v>
      </c>
      <c r="H10" s="116">
        <f t="shared" si="0"/>
        <v>1500</v>
      </c>
    </row>
    <row r="11" spans="1:8" ht="13.5">
      <c r="A11" s="112">
        <v>8</v>
      </c>
      <c r="B11" s="117" t="s">
        <v>194</v>
      </c>
      <c r="C11" s="114">
        <v>21</v>
      </c>
      <c r="D11" s="115" t="s">
        <v>183</v>
      </c>
      <c r="E11" s="114">
        <v>1500</v>
      </c>
      <c r="F11" s="114">
        <v>0</v>
      </c>
      <c r="G11" s="115" t="s">
        <v>184</v>
      </c>
      <c r="H11" s="116">
        <f t="shared" si="0"/>
        <v>1800</v>
      </c>
    </row>
    <row r="12" spans="1:8" ht="13.5">
      <c r="A12" s="112">
        <v>9</v>
      </c>
      <c r="B12" s="117" t="s">
        <v>195</v>
      </c>
      <c r="C12" s="114">
        <v>17</v>
      </c>
      <c r="D12" s="115" t="s">
        <v>183</v>
      </c>
      <c r="E12" s="114">
        <v>1500</v>
      </c>
      <c r="F12" s="114">
        <v>2</v>
      </c>
      <c r="G12" s="115" t="s">
        <v>186</v>
      </c>
      <c r="H12" s="116">
        <f t="shared" si="0"/>
        <v>1500</v>
      </c>
    </row>
    <row r="13" spans="1:8" ht="14.25" thickBot="1">
      <c r="A13" s="118">
        <v>10</v>
      </c>
      <c r="B13" s="119" t="s">
        <v>196</v>
      </c>
      <c r="C13" s="120">
        <v>19</v>
      </c>
      <c r="D13" s="121" t="s">
        <v>183</v>
      </c>
      <c r="E13" s="120">
        <v>1500</v>
      </c>
      <c r="F13" s="120">
        <v>5</v>
      </c>
      <c r="G13" s="121" t="s">
        <v>186</v>
      </c>
      <c r="H13" s="122">
        <f t="shared" si="0"/>
        <v>1500</v>
      </c>
    </row>
    <row r="14" spans="1:8">
      <c r="A14" s="106"/>
      <c r="B14" s="106"/>
      <c r="C14" s="106"/>
      <c r="D14" s="106"/>
      <c r="E14" s="106"/>
      <c r="F14" s="106"/>
      <c r="G14" s="106"/>
      <c r="H14" s="106"/>
    </row>
    <row r="15" spans="1:8">
      <c r="A15" s="178" t="s">
        <v>168</v>
      </c>
      <c r="B15" s="179"/>
      <c r="C15" s="179"/>
      <c r="D15" s="179"/>
      <c r="E15" s="179"/>
      <c r="F15" s="179"/>
      <c r="G15" s="180"/>
      <c r="H15" s="123" t="s">
        <v>169</v>
      </c>
    </row>
    <row r="16" spans="1:8">
      <c r="A16" s="124">
        <v>1</v>
      </c>
      <c r="B16" s="170" t="s">
        <v>197</v>
      </c>
      <c r="C16" s="170"/>
      <c r="D16" s="170"/>
      <c r="E16" s="170"/>
      <c r="F16" s="170"/>
      <c r="G16" s="170"/>
      <c r="H16" s="125"/>
    </row>
    <row r="17" spans="1:8">
      <c r="A17" s="124">
        <v>2</v>
      </c>
      <c r="B17" s="170" t="s">
        <v>198</v>
      </c>
      <c r="C17" s="170"/>
      <c r="D17" s="170"/>
      <c r="E17" s="170"/>
      <c r="F17" s="170"/>
      <c r="G17" s="170"/>
      <c r="H17" s="125"/>
    </row>
    <row r="18" spans="1:8">
      <c r="A18" s="124">
        <v>3</v>
      </c>
      <c r="B18" s="170" t="s">
        <v>199</v>
      </c>
      <c r="C18" s="170"/>
      <c r="D18" s="170"/>
      <c r="E18" s="170"/>
      <c r="F18" s="170"/>
      <c r="G18" s="170"/>
      <c r="H18" s="125"/>
    </row>
    <row r="19" spans="1:8">
      <c r="A19" s="124">
        <v>4</v>
      </c>
      <c r="B19" s="170" t="s">
        <v>200</v>
      </c>
      <c r="C19" s="170"/>
      <c r="D19" s="170"/>
      <c r="E19" s="170"/>
      <c r="F19" s="170"/>
      <c r="G19" s="170"/>
      <c r="H19" s="125"/>
    </row>
    <row r="20" spans="1:8">
      <c r="A20" s="124">
        <v>5</v>
      </c>
      <c r="B20" s="170" t="s">
        <v>201</v>
      </c>
      <c r="C20" s="170"/>
      <c r="D20" s="170"/>
      <c r="E20" s="170"/>
      <c r="F20" s="170"/>
      <c r="G20" s="170"/>
      <c r="H20" s="125"/>
    </row>
    <row r="21" spans="1:8">
      <c r="A21" s="124"/>
      <c r="B21" s="171"/>
      <c r="C21" s="171"/>
      <c r="D21" s="171"/>
      <c r="E21" s="171"/>
      <c r="F21" s="171"/>
      <c r="G21" s="171"/>
      <c r="H21" s="125"/>
    </row>
  </sheetData>
  <mergeCells count="8">
    <mergeCell ref="B20:G20"/>
    <mergeCell ref="B21:G21"/>
    <mergeCell ref="A1:H2"/>
    <mergeCell ref="A15:G15"/>
    <mergeCell ref="B16:G16"/>
    <mergeCell ref="B17:G17"/>
    <mergeCell ref="B18:G18"/>
    <mergeCell ref="B19:G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AB4A-1F43-49E1-A6EF-50BBDEFD763F}">
  <dimension ref="A3:F32"/>
  <sheetViews>
    <sheetView workbookViewId="0">
      <selection activeCell="G21" sqref="G21"/>
    </sheetView>
  </sheetViews>
  <sheetFormatPr defaultRowHeight="12.75"/>
  <cols>
    <col min="1" max="1" width="18.28515625" customWidth="1"/>
    <col min="2" max="2" width="12.5703125" bestFit="1" customWidth="1"/>
    <col min="3" max="256" width="11.42578125" customWidth="1"/>
  </cols>
  <sheetData>
    <row r="3" spans="1:5">
      <c r="A3" s="28" t="s">
        <v>202</v>
      </c>
      <c r="B3" s="28"/>
    </row>
    <row r="4" spans="1:5">
      <c r="A4" s="29" t="s">
        <v>203</v>
      </c>
      <c r="B4" s="29" t="s">
        <v>204</v>
      </c>
      <c r="C4" s="29" t="s">
        <v>205</v>
      </c>
      <c r="D4" s="29" t="s">
        <v>206</v>
      </c>
      <c r="E4" s="29" t="s">
        <v>207</v>
      </c>
    </row>
    <row r="5" spans="1:5">
      <c r="A5" s="16"/>
      <c r="B5" s="16"/>
      <c r="C5" s="30"/>
      <c r="D5" s="30"/>
      <c r="E5" s="30"/>
    </row>
    <row r="6" spans="1:5">
      <c r="A6" s="16"/>
      <c r="B6" s="16"/>
      <c r="C6" s="30"/>
      <c r="D6" s="30"/>
      <c r="E6" s="30"/>
    </row>
    <row r="7" spans="1:5">
      <c r="A7" s="16"/>
      <c r="B7" s="16"/>
      <c r="C7" s="30"/>
      <c r="D7" s="30"/>
      <c r="E7" s="30"/>
    </row>
    <row r="8" spans="1:5">
      <c r="A8" s="16"/>
      <c r="B8" s="16"/>
      <c r="C8" s="30"/>
      <c r="D8" s="30"/>
      <c r="E8" s="30"/>
    </row>
    <row r="9" spans="1:5">
      <c r="A9" s="16"/>
      <c r="B9" s="16"/>
      <c r="C9" s="30"/>
      <c r="D9" s="30"/>
      <c r="E9" s="30"/>
    </row>
    <row r="10" spans="1:5">
      <c r="A10" s="16"/>
      <c r="B10" s="16"/>
      <c r="C10" s="30"/>
      <c r="D10" s="30"/>
      <c r="E10" s="30"/>
    </row>
    <row r="19" spans="1:6">
      <c r="A19" s="29" t="s">
        <v>203</v>
      </c>
      <c r="B19" s="29" t="s">
        <v>204</v>
      </c>
      <c r="C19" s="31">
        <v>36526</v>
      </c>
      <c r="D19" s="31">
        <v>38477</v>
      </c>
      <c r="E19" s="31">
        <v>39731</v>
      </c>
      <c r="F19" s="31">
        <v>40524</v>
      </c>
    </row>
    <row r="20" spans="1:6">
      <c r="A20" s="16"/>
      <c r="B20" s="16"/>
      <c r="C20" s="30"/>
      <c r="D20" s="30"/>
      <c r="E20" s="30"/>
      <c r="F20" s="30"/>
    </row>
    <row r="21" spans="1:6">
      <c r="A21" s="16"/>
      <c r="B21" s="16"/>
      <c r="C21" s="30"/>
      <c r="D21" s="30"/>
      <c r="E21" s="30"/>
      <c r="F21" s="30"/>
    </row>
    <row r="22" spans="1:6">
      <c r="A22" s="16"/>
      <c r="B22" s="16"/>
      <c r="C22" s="30"/>
      <c r="D22" s="30"/>
      <c r="E22" s="30"/>
      <c r="F22" s="30"/>
    </row>
    <row r="23" spans="1:6">
      <c r="A23" s="16"/>
      <c r="B23" s="16"/>
      <c r="C23" s="30"/>
      <c r="D23" s="30"/>
      <c r="E23" s="30"/>
      <c r="F23" s="30"/>
    </row>
    <row r="24" spans="1:6">
      <c r="A24" s="16"/>
      <c r="B24" s="16"/>
      <c r="C24" s="30"/>
      <c r="D24" s="30"/>
      <c r="E24" s="30"/>
      <c r="F24" s="30"/>
    </row>
    <row r="25" spans="1:6">
      <c r="A25" s="16"/>
      <c r="B25" s="16"/>
      <c r="C25" s="30"/>
      <c r="D25" s="30"/>
      <c r="E25" s="30"/>
      <c r="F25" s="30"/>
    </row>
    <row r="30" spans="1:6">
      <c r="B30" t="s">
        <v>208</v>
      </c>
    </row>
    <row r="31" spans="1:6">
      <c r="B31" t="s">
        <v>209</v>
      </c>
    </row>
    <row r="32" spans="1:6">
      <c r="B32" t="s">
        <v>210</v>
      </c>
    </row>
  </sheetData>
  <phoneticPr fontId="0" type="noConversion"/>
  <printOptions horizontalCentered="1" verticalCentered="1"/>
  <pageMargins left="0.39370078740157483" right="0.39370078740157483" top="0.78740157480314965" bottom="0.78740157480314965" header="0" footer="0"/>
  <pageSetup paperSize="5" orientation="landscape" horizontalDpi="0" verticalDpi="0" r:id="rId1"/>
  <headerFooter alignWithMargins="0">
    <oddHeader>&amp;A</oddHeader>
    <oddFooter>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FerraVal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Mariana-Alejandro</dc:creator>
  <cp:keywords/>
  <dc:description/>
  <cp:lastModifiedBy/>
  <cp:revision/>
  <dcterms:created xsi:type="dcterms:W3CDTF">2004-04-26T01:16:55Z</dcterms:created>
  <dcterms:modified xsi:type="dcterms:W3CDTF">2026-07-14T00:23:11Z</dcterms:modified>
  <cp:category/>
  <cp:contentStatus/>
</cp:coreProperties>
</file>